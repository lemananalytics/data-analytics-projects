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definedNames>
    <definedName function="false" hidden="true" localSheetId="0" name="_xlnm._FilterDatabase" vbProcedure="false">Sheet1!$A$1:$AC$61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<sst xmlns="http://schemas.openxmlformats.org/spreadsheetml/2006/main" count="509" uniqueCount="178">
  <si>
    <t xml:space="preserve">Elan_ID</t>
  </si>
  <si>
    <t xml:space="preserve">Rayon</t>
  </si>
  <si>
    <t xml:space="preserve">Metro_Stansiyası</t>
  </si>
  <si>
    <t xml:space="preserve">Metroya_Məsafə_dəq</t>
  </si>
  <si>
    <t xml:space="preserve">Bina_Növü</t>
  </si>
  <si>
    <t xml:space="preserve">Tikinti_İli</t>
  </si>
  <si>
    <t xml:space="preserve">Bina_Yaşı</t>
  </si>
  <si>
    <t xml:space="preserve">Otaq_Sayı</t>
  </si>
  <si>
    <t xml:space="preserve">Sahə_m2</t>
  </si>
  <si>
    <t xml:space="preserve">Mərtəbə</t>
  </si>
  <si>
    <t xml:space="preserve">Binanın_Mərtəbəsi</t>
  </si>
  <si>
    <t xml:space="preserve">Təmir_Növü</t>
  </si>
  <si>
    <t xml:space="preserve">Dayanacaq</t>
  </si>
  <si>
    <t xml:space="preserve">Çıxarış</t>
  </si>
  <si>
    <t xml:space="preserve">Qiymət_m2_AZN</t>
  </si>
  <si>
    <t xml:space="preserve">Satış_Qiyməti_AZN</t>
  </si>
  <si>
    <t xml:space="preserve">Kirayə_Qiyməti_AZN</t>
  </si>
  <si>
    <t xml:space="preserve">Kommunal_Xərclər_AZN</t>
  </si>
  <si>
    <t xml:space="preserve">Elan_Tarixi</t>
  </si>
  <si>
    <t xml:space="preserve">Satışda_Qalma_Günü</t>
  </si>
  <si>
    <t xml:space="preserve">İl</t>
  </si>
  <si>
    <t xml:space="preserve">Ay</t>
  </si>
  <si>
    <t xml:space="preserve">Rüb</t>
  </si>
  <si>
    <t xml:space="preserve">Metro_Yaxınlığı</t>
  </si>
  <si>
    <t xml:space="preserve">Sahə_Qrupu</t>
  </si>
  <si>
    <t xml:space="preserve">Qiymət_Qrupu</t>
  </si>
  <si>
    <t xml:space="preserve">Bina_Yaş_Qrupu</t>
  </si>
  <si>
    <t xml:space="preserve">İllik_Kirayə_Gəlirlilik_%</t>
  </si>
  <si>
    <t xml:space="preserve">Netto_Aylıq_Kirayə_AZN</t>
  </si>
  <si>
    <t xml:space="preserve">BN1001</t>
  </si>
  <si>
    <t xml:space="preserve">Yasamal</t>
  </si>
  <si>
    <t xml:space="preserve">Ulduz</t>
  </si>
  <si>
    <t xml:space="preserve">Yeni tikili</t>
  </si>
  <si>
    <t xml:space="preserve">Təmirsiz</t>
  </si>
  <si>
    <t xml:space="preserve">Var</t>
  </si>
  <si>
    <t xml:space="preserve">2024-04-24</t>
  </si>
  <si>
    <t xml:space="preserve">BN1002</t>
  </si>
  <si>
    <t xml:space="preserve">Abşeron</t>
  </si>
  <si>
    <t xml:space="preserve">Avtovağzal</t>
  </si>
  <si>
    <t xml:space="preserve">Yoxdur</t>
  </si>
  <si>
    <t xml:space="preserve">2024-02-02</t>
  </si>
  <si>
    <t xml:space="preserve">BN1003</t>
  </si>
  <si>
    <t xml:space="preserve">Xocəsən</t>
  </si>
  <si>
    <t xml:space="preserve">Orta</t>
  </si>
  <si>
    <t xml:space="preserve">2024-02-07</t>
  </si>
  <si>
    <t xml:space="preserve">BN1004</t>
  </si>
  <si>
    <t xml:space="preserve">Suraxanı</t>
  </si>
  <si>
    <t xml:space="preserve">Q.Qarayev</t>
  </si>
  <si>
    <t xml:space="preserve">2024-02-17</t>
  </si>
  <si>
    <t xml:space="preserve">BN1005</t>
  </si>
  <si>
    <t xml:space="preserve">Sabunçu</t>
  </si>
  <si>
    <t xml:space="preserve">Terminal</t>
  </si>
  <si>
    <t xml:space="preserve">Köhnə tikili</t>
  </si>
  <si>
    <t xml:space="preserve">Yaxşı</t>
  </si>
  <si>
    <t xml:space="preserve">2024-03-07</t>
  </si>
  <si>
    <t xml:space="preserve">BN1006</t>
  </si>
  <si>
    <t xml:space="preserve">Binəqədi</t>
  </si>
  <si>
    <t xml:space="preserve">H.Aslanov</t>
  </si>
  <si>
    <t xml:space="preserve">2024-04-28</t>
  </si>
  <si>
    <t xml:space="preserve">BN1007</t>
  </si>
  <si>
    <t xml:space="preserve">Sabail</t>
  </si>
  <si>
    <t xml:space="preserve">İçərişəhər</t>
  </si>
  <si>
    <t xml:space="preserve">2024-07-23</t>
  </si>
  <si>
    <t xml:space="preserve">BN1008</t>
  </si>
  <si>
    <t xml:space="preserve">Nəsimi</t>
  </si>
  <si>
    <t xml:space="preserve">28 May</t>
  </si>
  <si>
    <t xml:space="preserve">2024-03-17</t>
  </si>
  <si>
    <t xml:space="preserve">BN1009</t>
  </si>
  <si>
    <t xml:space="preserve">Azadlıq Prospekti</t>
  </si>
  <si>
    <t xml:space="preserve">2024-09-27</t>
  </si>
  <si>
    <t xml:space="preserve">BN1010</t>
  </si>
  <si>
    <t xml:space="preserve">Nizami</t>
  </si>
  <si>
    <t xml:space="preserve">Sahil</t>
  </si>
  <si>
    <t xml:space="preserve">Əla</t>
  </si>
  <si>
    <t xml:space="preserve">2025-01-23</t>
  </si>
  <si>
    <t xml:space="preserve">BN1011</t>
  </si>
  <si>
    <t xml:space="preserve">Nərimanov</t>
  </si>
  <si>
    <t xml:space="preserve">20 Yanvar</t>
  </si>
  <si>
    <t xml:space="preserve">2024-04-26</t>
  </si>
  <si>
    <t xml:space="preserve">BN1012</t>
  </si>
  <si>
    <t xml:space="preserve">2024-11-21</t>
  </si>
  <si>
    <t xml:space="preserve">BN1013</t>
  </si>
  <si>
    <t xml:space="preserve">2024-03-08</t>
  </si>
  <si>
    <t xml:space="preserve">BN1014</t>
  </si>
  <si>
    <t xml:space="preserve">Elmələr</t>
  </si>
  <si>
    <t xml:space="preserve">2024-12-05</t>
  </si>
  <si>
    <t xml:space="preserve">BN1015</t>
  </si>
  <si>
    <t xml:space="preserve">2024-09-04</t>
  </si>
  <si>
    <t xml:space="preserve">BN1016</t>
  </si>
  <si>
    <t xml:space="preserve">2025-02-17</t>
  </si>
  <si>
    <t xml:space="preserve">BN1017</t>
  </si>
  <si>
    <t xml:space="preserve">2024-11-25</t>
  </si>
  <si>
    <t xml:space="preserve">BN1018</t>
  </si>
  <si>
    <t xml:space="preserve">2025-01-04</t>
  </si>
  <si>
    <t xml:space="preserve">BN1019</t>
  </si>
  <si>
    <t xml:space="preserve">BN1020</t>
  </si>
  <si>
    <t xml:space="preserve">2024-04-23</t>
  </si>
  <si>
    <t xml:space="preserve">BN1021</t>
  </si>
  <si>
    <t xml:space="preserve">Xətai</t>
  </si>
  <si>
    <t xml:space="preserve">2024-04-15</t>
  </si>
  <si>
    <t xml:space="preserve">BN1022</t>
  </si>
  <si>
    <t xml:space="preserve">2024-07-20</t>
  </si>
  <si>
    <t xml:space="preserve">BN1023</t>
  </si>
  <si>
    <t xml:space="preserve">Koroğlu</t>
  </si>
  <si>
    <t xml:space="preserve">2024-07-14</t>
  </si>
  <si>
    <t xml:space="preserve">BN1024</t>
  </si>
  <si>
    <t xml:space="preserve">Pirəkəşkul</t>
  </si>
  <si>
    <t xml:space="preserve">2024-06-20</t>
  </si>
  <si>
    <t xml:space="preserve">BN1025</t>
  </si>
  <si>
    <t xml:space="preserve">2024-03-20</t>
  </si>
  <si>
    <t xml:space="preserve">BN1026</t>
  </si>
  <si>
    <t xml:space="preserve">Həzi Aslanov</t>
  </si>
  <si>
    <t xml:space="preserve">2025-02-20</t>
  </si>
  <si>
    <t xml:space="preserve">BN1027</t>
  </si>
  <si>
    <t xml:space="preserve">2025-02-12</t>
  </si>
  <si>
    <t xml:space="preserve">BN1028</t>
  </si>
  <si>
    <t xml:space="preserve">2024-12-16</t>
  </si>
  <si>
    <t xml:space="preserve">BN1029</t>
  </si>
  <si>
    <t xml:space="preserve">2024-05-26</t>
  </si>
  <si>
    <t xml:space="preserve">BN1030</t>
  </si>
  <si>
    <t xml:space="preserve">Maştağa</t>
  </si>
  <si>
    <t xml:space="preserve">2025-01-17</t>
  </si>
  <si>
    <t xml:space="preserve">BN1031</t>
  </si>
  <si>
    <t xml:space="preserve">2024-07-11</t>
  </si>
  <si>
    <t xml:space="preserve">BN1032</t>
  </si>
  <si>
    <t xml:space="preserve">2024-05-23</t>
  </si>
  <si>
    <t xml:space="preserve">BN1033</t>
  </si>
  <si>
    <t xml:space="preserve">2024-07-29</t>
  </si>
  <si>
    <t xml:space="preserve">BN1034</t>
  </si>
  <si>
    <t xml:space="preserve">BN1035</t>
  </si>
  <si>
    <t xml:space="preserve">2024-05-02</t>
  </si>
  <si>
    <t xml:space="preserve">BN1036</t>
  </si>
  <si>
    <t xml:space="preserve">2024-07-15</t>
  </si>
  <si>
    <t xml:space="preserve">BN1037</t>
  </si>
  <si>
    <t xml:space="preserve">2024-05-07</t>
  </si>
  <si>
    <t xml:space="preserve">BN1038</t>
  </si>
  <si>
    <t xml:space="preserve">N.Nərimanov</t>
  </si>
  <si>
    <t xml:space="preserve">2024-08-11</t>
  </si>
  <si>
    <t xml:space="preserve">BN1039</t>
  </si>
  <si>
    <t xml:space="preserve">2024-01-15</t>
  </si>
  <si>
    <t xml:space="preserve">BN1040</t>
  </si>
  <si>
    <t xml:space="preserve">BN1041</t>
  </si>
  <si>
    <t xml:space="preserve">2024-01-29</t>
  </si>
  <si>
    <t xml:space="preserve">BN1042</t>
  </si>
  <si>
    <t xml:space="preserve">2024-09-25</t>
  </si>
  <si>
    <t xml:space="preserve">BN1043</t>
  </si>
  <si>
    <t xml:space="preserve">2024-06-07</t>
  </si>
  <si>
    <t xml:space="preserve">BN1044</t>
  </si>
  <si>
    <t xml:space="preserve">BN1045</t>
  </si>
  <si>
    <t xml:space="preserve">2025-01-01</t>
  </si>
  <si>
    <t xml:space="preserve">BN1046</t>
  </si>
  <si>
    <t xml:space="preserve">2024-03-22</t>
  </si>
  <si>
    <t xml:space="preserve">BN1047</t>
  </si>
  <si>
    <t xml:space="preserve">2024-08-23</t>
  </si>
  <si>
    <t xml:space="preserve">BN1048</t>
  </si>
  <si>
    <t xml:space="preserve">2024-10-23</t>
  </si>
  <si>
    <t xml:space="preserve">BN1049</t>
  </si>
  <si>
    <t xml:space="preserve">2024-01-26</t>
  </si>
  <si>
    <t xml:space="preserve">BN1050</t>
  </si>
  <si>
    <t xml:space="preserve">2024-04-14</t>
  </si>
  <si>
    <t xml:space="preserve">BN1051</t>
  </si>
  <si>
    <t xml:space="preserve">2024-09-30</t>
  </si>
  <si>
    <t xml:space="preserve">BN1052</t>
  </si>
  <si>
    <t xml:space="preserve">BN1053</t>
  </si>
  <si>
    <t xml:space="preserve">2024-05-25</t>
  </si>
  <si>
    <t xml:space="preserve">BN1054</t>
  </si>
  <si>
    <t xml:space="preserve">2024-03-23</t>
  </si>
  <si>
    <t xml:space="preserve">BN1055</t>
  </si>
  <si>
    <t xml:space="preserve">2024-12-10</t>
  </si>
  <si>
    <t xml:space="preserve">BN1056</t>
  </si>
  <si>
    <t xml:space="preserve">2024-08-26</t>
  </si>
  <si>
    <t xml:space="preserve">BN1057</t>
  </si>
  <si>
    <t xml:space="preserve">2024-06-09</t>
  </si>
  <si>
    <t xml:space="preserve">BN1058</t>
  </si>
  <si>
    <t xml:space="preserve">2024-11-08</t>
  </si>
  <si>
    <t xml:space="preserve">BN1059</t>
  </si>
  <si>
    <t xml:space="preserve">BN1060</t>
  </si>
  <si>
    <t xml:space="preserve">2024-07-07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</si>
</sst>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B6CB0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B6CB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B6CB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6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D18" activeCellId="0" sqref="D18"/>
    </sheetView>
  </sheetViews>
  <sheetFormatPr defaultColWidth="8.6796875" defaultRowHeight="14.25" zeroHeight="false" outlineLevelRow="0" outlineLevelCol="0"/>
  <cols>
    <col collapsed="false" customWidth="true" hidden="false" outlineLevel="0" max="29" min="1" style="0" width="1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customFormat="false" ht="14.25" hidden="false" customHeight="false" outlineLevel="0" collapsed="false">
      <c r="A2" s="3" t="s">
        <v>29</v>
      </c>
      <c r="B2" s="3" t="s">
        <v>30</v>
      </c>
      <c r="C2" s="3" t="s">
        <v>31</v>
      </c>
      <c r="D2" s="3" t="n">
        <v>5</v>
      </c>
      <c r="E2" s="3" t="s">
        <v>32</v>
      </c>
      <c r="F2" s="3" t="n">
        <v>2006</v>
      </c>
      <c r="G2" s="3" t="n">
        <v>19</v>
      </c>
      <c r="H2" s="3" t="n">
        <v>1</v>
      </c>
      <c r="I2" s="3" t="n">
        <v>46.6</v>
      </c>
      <c r="J2" s="3" t="n">
        <v>11</v>
      </c>
      <c r="K2" s="3" t="n">
        <v>16</v>
      </c>
      <c r="L2" s="3" t="s">
        <v>33</v>
      </c>
      <c r="M2" s="3" t="s">
        <v>34</v>
      </c>
      <c r="N2" s="3" t="s">
        <v>34</v>
      </c>
      <c r="O2" s="3" t="n">
        <v>1501</v>
      </c>
      <c r="P2" s="3" t="n">
        <v>69900</v>
      </c>
      <c r="Q2" s="3" t="n">
        <v>300</v>
      </c>
      <c r="R2" s="3" t="n">
        <v>90</v>
      </c>
      <c r="S2" s="3" t="s">
        <v>35</v>
      </c>
      <c r="T2" s="3" t="n">
        <v>8</v>
      </c>
      <c r="U2" s="4" t="n">
        <f aca="false">YEAR(S2)</f>
        <v>2024</v>
      </c>
      <c r="V2" s="4" t="n">
        <f aca="false">MONTH(S2)</f>
        <v>4</v>
      </c>
      <c r="W2" s="4" t="n">
        <f aca="false">ROUNDUP(MONTH(S2)/3,0)</f>
        <v>2</v>
      </c>
      <c r="X2" s="4" t="str">
        <f aca="false">IF(D2&lt;=10,"Yaxın (&lt;=10 dəq)",IF(D2&lt;=20,"Orta (11-20 dəq)","Uzaq (20+ dəq)"))</f>
        <v>Yaxın (&lt;=10 dəq)</v>
      </c>
      <c r="Y2" s="4" t="str">
        <f aca="false">IF(I2&lt;60,"Kiçik (&lt;60 m²)",IF(I2&lt;90,"Orta (60-90 m²)",IF(I2&lt;120,"Böyük (90-120 m²)","Çox böyük (120+ m²)")))</f>
        <v>Kiçik (&lt;60 m²)</v>
      </c>
      <c r="Z2" s="4" t="str">
        <f aca="false">IF(P2&lt;70000,"Ekonom (&lt;70K)",IF(P2&lt;120000,"Orta (70-120K)",IF(P2&lt;200000,"Yüksək (120-200K)","Premium (200K+)")))</f>
        <v>Ekonom (&lt;70K)</v>
      </c>
      <c r="AA2" s="4" t="str">
        <f aca="false">IF(G2&lt;=5,"Yeni (0-5)",IF(G2&lt;=15,"Orta-yeni (6-15)",IF(G2&lt;=30,"Orta (16-30)","Köhnə (30+)")))</f>
        <v>Orta (16-30)</v>
      </c>
      <c r="AB2" s="4" t="n">
        <f aca="false">ROUND((Q2*12)/P2*100,2)</f>
        <v>5.15</v>
      </c>
      <c r="AC2" s="4" t="n">
        <f aca="false">Q2-R2</f>
        <v>210</v>
      </c>
    </row>
    <row r="3" customFormat="false" ht="14.25" hidden="false" customHeight="false" outlineLevel="0" collapsed="false">
      <c r="A3" s="3" t="s">
        <v>36</v>
      </c>
      <c r="B3" s="3" t="s">
        <v>37</v>
      </c>
      <c r="C3" s="3" t="s">
        <v>38</v>
      </c>
      <c r="D3" s="3" t="n">
        <v>11</v>
      </c>
      <c r="E3" s="3" t="s">
        <v>32</v>
      </c>
      <c r="F3" s="3" t="n">
        <v>2012</v>
      </c>
      <c r="G3" s="3" t="n">
        <v>13</v>
      </c>
      <c r="H3" s="3" t="n">
        <v>1</v>
      </c>
      <c r="I3" s="3" t="n">
        <v>51.7</v>
      </c>
      <c r="J3" s="3" t="n">
        <v>8</v>
      </c>
      <c r="K3" s="3" t="n">
        <v>16</v>
      </c>
      <c r="L3" s="3" t="s">
        <v>33</v>
      </c>
      <c r="M3" s="3" t="s">
        <v>39</v>
      </c>
      <c r="N3" s="3" t="s">
        <v>34</v>
      </c>
      <c r="O3" s="3" t="n">
        <v>881</v>
      </c>
      <c r="P3" s="3" t="n">
        <v>45500</v>
      </c>
      <c r="Q3" s="3" t="n">
        <v>210</v>
      </c>
      <c r="R3" s="3" t="n">
        <v>105</v>
      </c>
      <c r="S3" s="3" t="s">
        <v>40</v>
      </c>
      <c r="T3" s="3" t="n">
        <v>8</v>
      </c>
      <c r="U3" s="4" t="n">
        <f aca="false">YEAR(S3)</f>
        <v>2024</v>
      </c>
      <c r="V3" s="4" t="n">
        <f aca="false">MONTH(S3)</f>
        <v>2</v>
      </c>
      <c r="W3" s="4" t="n">
        <f aca="false">ROUNDUP(MONTH(S3)/3,0)</f>
        <v>1</v>
      </c>
      <c r="X3" s="4" t="str">
        <f aca="false">IF(D3&lt;=10,"Yaxın (&lt;=10 dəq)",IF(D3&lt;=20,"Orta (11-20 dəq)","Uzaq (20+ dəq)"))</f>
        <v>Orta (11-20 dəq)</v>
      </c>
      <c r="Y3" s="4" t="str">
        <f aca="false">IF(I3&lt;60,"Kiçik (&lt;60 m²)",IF(I3&lt;90,"Orta (60-90 m²)",IF(I3&lt;120,"Böyük (90-120 m²)","Çox böyük (120+ m²)")))</f>
        <v>Kiçik (&lt;60 m²)</v>
      </c>
      <c r="Z3" s="4" t="str">
        <f aca="false">IF(P3&lt;70000,"Ekonom (&lt;70K)",IF(P3&lt;120000,"Orta (70-120K)",IF(P3&lt;200000,"Yüksək (120-200K)","Premium (200K+)")))</f>
        <v>Ekonom (&lt;70K)</v>
      </c>
      <c r="AA3" s="4" t="str">
        <f aca="false">IF(G3&lt;=5,"Yeni (0-5)",IF(G3&lt;=15,"Orta-yeni (6-15)",IF(G3&lt;=30,"Orta (16-30)","Köhnə (30+)")))</f>
        <v>Orta-yeni (6-15)</v>
      </c>
      <c r="AB3" s="4" t="n">
        <f aca="false">ROUND((Q3*12)/P3*100,2)</f>
        <v>5.54</v>
      </c>
      <c r="AC3" s="4" t="n">
        <f aca="false">Q3-R3</f>
        <v>105</v>
      </c>
    </row>
    <row r="4" customFormat="false" ht="14.25" hidden="false" customHeight="false" outlineLevel="0" collapsed="false">
      <c r="A4" s="3" t="s">
        <v>41</v>
      </c>
      <c r="B4" s="3" t="s">
        <v>37</v>
      </c>
      <c r="C4" s="3" t="s">
        <v>42</v>
      </c>
      <c r="D4" s="3" t="n">
        <v>11</v>
      </c>
      <c r="E4" s="3" t="s">
        <v>32</v>
      </c>
      <c r="F4" s="3" t="n">
        <v>2022</v>
      </c>
      <c r="G4" s="3" t="n">
        <v>3</v>
      </c>
      <c r="H4" s="3" t="n">
        <v>2</v>
      </c>
      <c r="I4" s="3" t="n">
        <v>64.9</v>
      </c>
      <c r="J4" s="3" t="n">
        <v>16</v>
      </c>
      <c r="K4" s="3" t="n">
        <v>24</v>
      </c>
      <c r="L4" s="3" t="s">
        <v>43</v>
      </c>
      <c r="M4" s="3" t="s">
        <v>34</v>
      </c>
      <c r="N4" s="3" t="s">
        <v>34</v>
      </c>
      <c r="O4" s="3" t="n">
        <v>1048</v>
      </c>
      <c r="P4" s="3" t="n">
        <v>68000</v>
      </c>
      <c r="Q4" s="3" t="n">
        <v>310</v>
      </c>
      <c r="R4" s="3" t="n">
        <v>125</v>
      </c>
      <c r="S4" s="3" t="s">
        <v>44</v>
      </c>
      <c r="T4" s="3" t="n">
        <v>12</v>
      </c>
      <c r="U4" s="4" t="n">
        <f aca="false">YEAR(S4)</f>
        <v>2024</v>
      </c>
      <c r="V4" s="4" t="n">
        <f aca="false">MONTH(S4)</f>
        <v>2</v>
      </c>
      <c r="W4" s="4" t="n">
        <f aca="false">ROUNDUP(MONTH(S4)/3,0)</f>
        <v>1</v>
      </c>
      <c r="X4" s="4" t="str">
        <f aca="false">IF(D4&lt;=10,"Yaxın (&lt;=10 dəq)",IF(D4&lt;=20,"Orta (11-20 dəq)","Uzaq (20+ dəq)"))</f>
        <v>Orta (11-20 dəq)</v>
      </c>
      <c r="Y4" s="4" t="str">
        <f aca="false">IF(I4&lt;60,"Kiçik (&lt;60 m²)",IF(I4&lt;90,"Orta (60-90 m²)",IF(I4&lt;120,"Böyük (90-120 m²)","Çox böyük (120+ m²)")))</f>
        <v>Orta (60-90 m²)</v>
      </c>
      <c r="Z4" s="4" t="str">
        <f aca="false">IF(P4&lt;70000,"Ekonom (&lt;70K)",IF(P4&lt;120000,"Orta (70-120K)",IF(P4&lt;200000,"Yüksək (120-200K)","Premium (200K+)")))</f>
        <v>Ekonom (&lt;70K)</v>
      </c>
      <c r="AA4" s="4" t="str">
        <f aca="false">IF(G4&lt;=5,"Yeni (0-5)",IF(G4&lt;=15,"Orta-yeni (6-15)",IF(G4&lt;=30,"Orta (16-30)","Köhnə (30+)")))</f>
        <v>Yeni (0-5)</v>
      </c>
      <c r="AB4" s="4" t="n">
        <f aca="false">ROUND((Q4*12)/P4*100,2)</f>
        <v>5.47</v>
      </c>
      <c r="AC4" s="4" t="n">
        <f aca="false">Q4-R4</f>
        <v>185</v>
      </c>
    </row>
    <row r="5" customFormat="false" ht="14.25" hidden="false" customHeight="false" outlineLevel="0" collapsed="false">
      <c r="A5" s="3" t="s">
        <v>45</v>
      </c>
      <c r="B5" s="3" t="s">
        <v>46</v>
      </c>
      <c r="C5" s="3" t="s">
        <v>47</v>
      </c>
      <c r="D5" s="3" t="n">
        <v>5</v>
      </c>
      <c r="E5" s="3" t="s">
        <v>32</v>
      </c>
      <c r="F5" s="3" t="n">
        <v>2015</v>
      </c>
      <c r="G5" s="3" t="n">
        <v>10</v>
      </c>
      <c r="H5" s="3" t="n">
        <v>1</v>
      </c>
      <c r="I5" s="3" t="n">
        <v>45.8</v>
      </c>
      <c r="J5" s="3" t="n">
        <v>7</v>
      </c>
      <c r="K5" s="3" t="n">
        <v>9</v>
      </c>
      <c r="L5" s="3" t="s">
        <v>33</v>
      </c>
      <c r="M5" s="3" t="s">
        <v>34</v>
      </c>
      <c r="N5" s="3" t="s">
        <v>34</v>
      </c>
      <c r="O5" s="3" t="n">
        <v>997</v>
      </c>
      <c r="P5" s="3" t="n">
        <v>45700</v>
      </c>
      <c r="Q5" s="3" t="n">
        <v>250</v>
      </c>
      <c r="R5" s="3" t="n">
        <v>100</v>
      </c>
      <c r="S5" s="3" t="s">
        <v>48</v>
      </c>
      <c r="T5" s="3" t="n">
        <v>22</v>
      </c>
      <c r="U5" s="4" t="n">
        <f aca="false">YEAR(S5)</f>
        <v>2024</v>
      </c>
      <c r="V5" s="4" t="n">
        <f aca="false">MONTH(S5)</f>
        <v>2</v>
      </c>
      <c r="W5" s="4" t="n">
        <f aca="false">ROUNDUP(MONTH(S5)/3,0)</f>
        <v>1</v>
      </c>
      <c r="X5" s="4" t="str">
        <f aca="false">IF(D5&lt;=10,"Yaxın (&lt;=10 dəq)",IF(D5&lt;=20,"Orta (11-20 dəq)","Uzaq (20+ dəq)"))</f>
        <v>Yaxın (&lt;=10 dəq)</v>
      </c>
      <c r="Y5" s="4" t="str">
        <f aca="false">IF(I5&lt;60,"Kiçik (&lt;60 m²)",IF(I5&lt;90,"Orta (60-90 m²)",IF(I5&lt;120,"Böyük (90-120 m²)","Çox böyük (120+ m²)")))</f>
        <v>Kiçik (&lt;60 m²)</v>
      </c>
      <c r="Z5" s="4" t="str">
        <f aca="false">IF(P5&lt;70000,"Ekonom (&lt;70K)",IF(P5&lt;120000,"Orta (70-120K)",IF(P5&lt;200000,"Yüksək (120-200K)","Premium (200K+)")))</f>
        <v>Ekonom (&lt;70K)</v>
      </c>
      <c r="AA5" s="4" t="str">
        <f aca="false">IF(G5&lt;=5,"Yeni (0-5)",IF(G5&lt;=15,"Orta-yeni (6-15)",IF(G5&lt;=30,"Orta (16-30)","Köhnə (30+)")))</f>
        <v>Orta-yeni (6-15)</v>
      </c>
      <c r="AB5" s="4" t="n">
        <f aca="false">ROUND((Q5*12)/P5*100,2)</f>
        <v>6.56</v>
      </c>
      <c r="AC5" s="4" t="n">
        <f aca="false">Q5-R5</f>
        <v>150</v>
      </c>
    </row>
    <row r="6" customFormat="false" ht="14.25" hidden="false" customHeight="false" outlineLevel="0" collapsed="false">
      <c r="A6" s="3" t="s">
        <v>49</v>
      </c>
      <c r="B6" s="3" t="s">
        <v>50</v>
      </c>
      <c r="C6" s="3" t="s">
        <v>51</v>
      </c>
      <c r="D6" s="3" t="n">
        <v>22</v>
      </c>
      <c r="E6" s="3" t="s">
        <v>52</v>
      </c>
      <c r="F6" s="3" t="n">
        <v>1965</v>
      </c>
      <c r="G6" s="3" t="n">
        <v>60</v>
      </c>
      <c r="H6" s="3" t="n">
        <v>3</v>
      </c>
      <c r="I6" s="3" t="n">
        <v>88.8</v>
      </c>
      <c r="J6" s="3" t="n">
        <v>5</v>
      </c>
      <c r="K6" s="3" t="n">
        <v>9</v>
      </c>
      <c r="L6" s="3" t="s">
        <v>53</v>
      </c>
      <c r="M6" s="3" t="s">
        <v>39</v>
      </c>
      <c r="N6" s="3" t="s">
        <v>34</v>
      </c>
      <c r="O6" s="3" t="n">
        <v>1208</v>
      </c>
      <c r="P6" s="3" t="n">
        <v>107300</v>
      </c>
      <c r="Q6" s="3" t="n">
        <v>510</v>
      </c>
      <c r="R6" s="3" t="n">
        <v>160</v>
      </c>
      <c r="S6" s="3" t="s">
        <v>54</v>
      </c>
      <c r="T6" s="3" t="n">
        <v>45</v>
      </c>
      <c r="U6" s="4" t="n">
        <f aca="false">YEAR(S6)</f>
        <v>2024</v>
      </c>
      <c r="V6" s="4" t="n">
        <f aca="false">MONTH(S6)</f>
        <v>3</v>
      </c>
      <c r="W6" s="4" t="n">
        <f aca="false">ROUNDUP(MONTH(S6)/3,0)</f>
        <v>1</v>
      </c>
      <c r="X6" s="4" t="str">
        <f aca="false">IF(D6&lt;=10,"Yaxın (&lt;=10 dəq)",IF(D6&lt;=20,"Orta (11-20 dəq)","Uzaq (20+ dəq)"))</f>
        <v>Uzaq (20+ dəq)</v>
      </c>
      <c r="Y6" s="4" t="str">
        <f aca="false">IF(I6&lt;60,"Kiçik (&lt;60 m²)",IF(I6&lt;90,"Orta (60-90 m²)",IF(I6&lt;120,"Böyük (90-120 m²)","Çox böyük (120+ m²)")))</f>
        <v>Orta (60-90 m²)</v>
      </c>
      <c r="Z6" s="4" t="str">
        <f aca="false">IF(P6&lt;70000,"Ekonom (&lt;70K)",IF(P6&lt;120000,"Orta (70-120K)",IF(P6&lt;200000,"Yüksək (120-200K)","Premium (200K+)")))</f>
        <v>Orta (70-120K)</v>
      </c>
      <c r="AA6" s="4" t="str">
        <f aca="false">IF(G6&lt;=5,"Yeni (0-5)",IF(G6&lt;=15,"Orta-yeni (6-15)",IF(G6&lt;=30,"Orta (16-30)","Köhnə (30+)")))</f>
        <v>Köhnə (30+)</v>
      </c>
      <c r="AB6" s="4" t="n">
        <f aca="false">ROUND((Q6*12)/P6*100,2)</f>
        <v>5.7</v>
      </c>
      <c r="AC6" s="4" t="n">
        <f aca="false">Q6-R6</f>
        <v>350</v>
      </c>
    </row>
    <row r="7" customFormat="false" ht="14.25" hidden="false" customHeight="false" outlineLevel="0" collapsed="false">
      <c r="A7" s="3" t="s">
        <v>55</v>
      </c>
      <c r="B7" s="3" t="s">
        <v>56</v>
      </c>
      <c r="C7" s="3" t="s">
        <v>57</v>
      </c>
      <c r="D7" s="3" t="n">
        <v>3</v>
      </c>
      <c r="E7" s="3" t="s">
        <v>52</v>
      </c>
      <c r="F7" s="3" t="n">
        <v>1993</v>
      </c>
      <c r="G7" s="3" t="n">
        <v>32</v>
      </c>
      <c r="H7" s="3" t="n">
        <v>1</v>
      </c>
      <c r="I7" s="3" t="n">
        <v>45.2</v>
      </c>
      <c r="J7" s="3" t="n">
        <v>3</v>
      </c>
      <c r="K7" s="3" t="n">
        <v>9</v>
      </c>
      <c r="L7" s="3" t="s">
        <v>53</v>
      </c>
      <c r="M7" s="3" t="s">
        <v>39</v>
      </c>
      <c r="N7" s="3" t="s">
        <v>34</v>
      </c>
      <c r="O7" s="3" t="n">
        <v>1275</v>
      </c>
      <c r="P7" s="3" t="n">
        <v>57600</v>
      </c>
      <c r="Q7" s="3" t="n">
        <v>270</v>
      </c>
      <c r="R7" s="3" t="n">
        <v>90</v>
      </c>
      <c r="S7" s="3" t="s">
        <v>58</v>
      </c>
      <c r="T7" s="3" t="n">
        <v>19</v>
      </c>
      <c r="U7" s="4" t="n">
        <f aca="false">YEAR(S7)</f>
        <v>2024</v>
      </c>
      <c r="V7" s="4" t="n">
        <f aca="false">MONTH(S7)</f>
        <v>4</v>
      </c>
      <c r="W7" s="4" t="n">
        <f aca="false">ROUNDUP(MONTH(S7)/3,0)</f>
        <v>2</v>
      </c>
      <c r="X7" s="4" t="str">
        <f aca="false">IF(D7&lt;=10,"Yaxın (&lt;=10 dəq)",IF(D7&lt;=20,"Orta (11-20 dəq)","Uzaq (20+ dəq)"))</f>
        <v>Yaxın (&lt;=10 dəq)</v>
      </c>
      <c r="Y7" s="4" t="str">
        <f aca="false">IF(I7&lt;60,"Kiçik (&lt;60 m²)",IF(I7&lt;90,"Orta (60-90 m²)",IF(I7&lt;120,"Böyük (90-120 m²)","Çox böyük (120+ m²)")))</f>
        <v>Kiçik (&lt;60 m²)</v>
      </c>
      <c r="Z7" s="4" t="str">
        <f aca="false">IF(P7&lt;70000,"Ekonom (&lt;70K)",IF(P7&lt;120000,"Orta (70-120K)",IF(P7&lt;200000,"Yüksək (120-200K)","Premium (200K+)")))</f>
        <v>Ekonom (&lt;70K)</v>
      </c>
      <c r="AA7" s="4" t="str">
        <f aca="false">IF(G7&lt;=5,"Yeni (0-5)",IF(G7&lt;=15,"Orta-yeni (6-15)",IF(G7&lt;=30,"Orta (16-30)","Köhnə (30+)")))</f>
        <v>Köhnə (30+)</v>
      </c>
      <c r="AB7" s="4" t="n">
        <f aca="false">ROUND((Q7*12)/P7*100,2)</f>
        <v>5.63</v>
      </c>
      <c r="AC7" s="4" t="n">
        <f aca="false">Q7-R7</f>
        <v>180</v>
      </c>
    </row>
    <row r="8" customFormat="false" ht="14.25" hidden="false" customHeight="false" outlineLevel="0" collapsed="false">
      <c r="A8" s="3" t="s">
        <v>59</v>
      </c>
      <c r="B8" s="3" t="s">
        <v>60</v>
      </c>
      <c r="C8" s="3" t="s">
        <v>61</v>
      </c>
      <c r="D8" s="3" t="n">
        <v>13</v>
      </c>
      <c r="E8" s="3" t="s">
        <v>52</v>
      </c>
      <c r="F8" s="3" t="n">
        <v>1973</v>
      </c>
      <c r="G8" s="3" t="n">
        <v>52</v>
      </c>
      <c r="H8" s="3" t="n">
        <v>2</v>
      </c>
      <c r="I8" s="3" t="n">
        <v>57.1</v>
      </c>
      <c r="J8" s="3" t="n">
        <v>9</v>
      </c>
      <c r="K8" s="3" t="n">
        <v>9</v>
      </c>
      <c r="L8" s="3" t="s">
        <v>43</v>
      </c>
      <c r="M8" s="3" t="s">
        <v>39</v>
      </c>
      <c r="N8" s="3" t="s">
        <v>34</v>
      </c>
      <c r="O8" s="3" t="n">
        <v>1656</v>
      </c>
      <c r="P8" s="3" t="n">
        <v>94600</v>
      </c>
      <c r="Q8" s="3" t="n">
        <v>540</v>
      </c>
      <c r="R8" s="3" t="n">
        <v>115</v>
      </c>
      <c r="S8" s="3" t="s">
        <v>62</v>
      </c>
      <c r="T8" s="3" t="n">
        <v>64</v>
      </c>
      <c r="U8" s="4" t="n">
        <f aca="false">YEAR(S8)</f>
        <v>2024</v>
      </c>
      <c r="V8" s="4" t="n">
        <f aca="false">MONTH(S8)</f>
        <v>7</v>
      </c>
      <c r="W8" s="4" t="n">
        <f aca="false">ROUNDUP(MONTH(S8)/3,0)</f>
        <v>3</v>
      </c>
      <c r="X8" s="4" t="str">
        <f aca="false">IF(D8&lt;=10,"Yaxın (&lt;=10 dəq)",IF(D8&lt;=20,"Orta (11-20 dəq)","Uzaq (20+ dəq)"))</f>
        <v>Orta (11-20 dəq)</v>
      </c>
      <c r="Y8" s="4" t="str">
        <f aca="false">IF(I8&lt;60,"Kiçik (&lt;60 m²)",IF(I8&lt;90,"Orta (60-90 m²)",IF(I8&lt;120,"Böyük (90-120 m²)","Çox böyük (120+ m²)")))</f>
        <v>Kiçik (&lt;60 m²)</v>
      </c>
      <c r="Z8" s="4" t="str">
        <f aca="false">IF(P8&lt;70000,"Ekonom (&lt;70K)",IF(P8&lt;120000,"Orta (70-120K)",IF(P8&lt;200000,"Yüksək (120-200K)","Premium (200K+)")))</f>
        <v>Orta (70-120K)</v>
      </c>
      <c r="AA8" s="4" t="str">
        <f aca="false">IF(G8&lt;=5,"Yeni (0-5)",IF(G8&lt;=15,"Orta-yeni (6-15)",IF(G8&lt;=30,"Orta (16-30)","Köhnə (30+)")))</f>
        <v>Köhnə (30+)</v>
      </c>
      <c r="AB8" s="4" t="n">
        <f aca="false">ROUND((Q8*12)/P8*100,2)</f>
        <v>6.85</v>
      </c>
      <c r="AC8" s="4" t="n">
        <f aca="false">Q8-R8</f>
        <v>425</v>
      </c>
    </row>
    <row r="9" customFormat="false" ht="14.25" hidden="false" customHeight="false" outlineLevel="0" collapsed="false">
      <c r="A9" s="3" t="s">
        <v>63</v>
      </c>
      <c r="B9" s="3" t="s">
        <v>64</v>
      </c>
      <c r="C9" s="3" t="s">
        <v>65</v>
      </c>
      <c r="D9" s="3" t="n">
        <v>7</v>
      </c>
      <c r="E9" s="3" t="s">
        <v>52</v>
      </c>
      <c r="F9" s="3" t="n">
        <v>1965</v>
      </c>
      <c r="G9" s="3" t="n">
        <v>60</v>
      </c>
      <c r="H9" s="3" t="n">
        <v>2</v>
      </c>
      <c r="I9" s="3" t="n">
        <v>81.6</v>
      </c>
      <c r="J9" s="3" t="n">
        <v>3</v>
      </c>
      <c r="K9" s="3" t="n">
        <v>9</v>
      </c>
      <c r="L9" s="3" t="s">
        <v>33</v>
      </c>
      <c r="M9" s="3" t="s">
        <v>39</v>
      </c>
      <c r="N9" s="3" t="s">
        <v>34</v>
      </c>
      <c r="O9" s="3" t="n">
        <v>1397</v>
      </c>
      <c r="P9" s="3" t="n">
        <v>114000</v>
      </c>
      <c r="Q9" s="3" t="n">
        <v>500</v>
      </c>
      <c r="R9" s="3" t="n">
        <v>130</v>
      </c>
      <c r="S9" s="3" t="s">
        <v>66</v>
      </c>
      <c r="T9" s="3" t="n">
        <v>46</v>
      </c>
      <c r="U9" s="4" t="n">
        <f aca="false">YEAR(S9)</f>
        <v>2024</v>
      </c>
      <c r="V9" s="4" t="n">
        <f aca="false">MONTH(S9)</f>
        <v>3</v>
      </c>
      <c r="W9" s="4" t="n">
        <f aca="false">ROUNDUP(MONTH(S9)/3,0)</f>
        <v>1</v>
      </c>
      <c r="X9" s="4" t="str">
        <f aca="false">IF(D9&lt;=10,"Yaxın (&lt;=10 dəq)",IF(D9&lt;=20,"Orta (11-20 dəq)","Uzaq (20+ dəq)"))</f>
        <v>Yaxın (&lt;=10 dəq)</v>
      </c>
      <c r="Y9" s="4" t="str">
        <f aca="false">IF(I9&lt;60,"Kiçik (&lt;60 m²)",IF(I9&lt;90,"Orta (60-90 m²)",IF(I9&lt;120,"Böyük (90-120 m²)","Çox böyük (120+ m²)")))</f>
        <v>Orta (60-90 m²)</v>
      </c>
      <c r="Z9" s="4" t="str">
        <f aca="false">IF(P9&lt;70000,"Ekonom (&lt;70K)",IF(P9&lt;120000,"Orta (70-120K)",IF(P9&lt;200000,"Yüksək (120-200K)","Premium (200K+)")))</f>
        <v>Orta (70-120K)</v>
      </c>
      <c r="AA9" s="4" t="str">
        <f aca="false">IF(G9&lt;=5,"Yeni (0-5)",IF(G9&lt;=15,"Orta-yeni (6-15)",IF(G9&lt;=30,"Orta (16-30)","Köhnə (30+)")))</f>
        <v>Köhnə (30+)</v>
      </c>
      <c r="AB9" s="4" t="n">
        <f aca="false">ROUND((Q9*12)/P9*100,2)</f>
        <v>5.26</v>
      </c>
      <c r="AC9" s="4" t="n">
        <f aca="false">Q9-R9</f>
        <v>370</v>
      </c>
    </row>
    <row r="10" customFormat="false" ht="14.25" hidden="false" customHeight="false" outlineLevel="0" collapsed="false">
      <c r="A10" s="3" t="s">
        <v>67</v>
      </c>
      <c r="B10" s="3" t="s">
        <v>30</v>
      </c>
      <c r="C10" s="3" t="s">
        <v>68</v>
      </c>
      <c r="D10" s="3" t="n">
        <v>3</v>
      </c>
      <c r="E10" s="3" t="s">
        <v>32</v>
      </c>
      <c r="F10" s="3" t="n">
        <v>2008</v>
      </c>
      <c r="G10" s="3" t="n">
        <v>17</v>
      </c>
      <c r="H10" s="3" t="n">
        <v>1</v>
      </c>
      <c r="I10" s="3" t="n">
        <v>45.8</v>
      </c>
      <c r="J10" s="3" t="n">
        <v>17</v>
      </c>
      <c r="K10" s="3" t="n">
        <v>20</v>
      </c>
      <c r="L10" s="3" t="s">
        <v>53</v>
      </c>
      <c r="M10" s="3" t="s">
        <v>39</v>
      </c>
      <c r="N10" s="3" t="s">
        <v>34</v>
      </c>
      <c r="O10" s="3" t="n">
        <v>1786</v>
      </c>
      <c r="P10" s="3" t="n">
        <v>81800</v>
      </c>
      <c r="Q10" s="3" t="n">
        <v>360</v>
      </c>
      <c r="R10" s="3" t="n">
        <v>90</v>
      </c>
      <c r="S10" s="3" t="s">
        <v>69</v>
      </c>
      <c r="T10" s="3" t="n">
        <v>60</v>
      </c>
      <c r="U10" s="4" t="n">
        <f aca="false">YEAR(S10)</f>
        <v>2024</v>
      </c>
      <c r="V10" s="4" t="n">
        <f aca="false">MONTH(S10)</f>
        <v>9</v>
      </c>
      <c r="W10" s="4" t="n">
        <f aca="false">ROUNDUP(MONTH(S10)/3,0)</f>
        <v>3</v>
      </c>
      <c r="X10" s="4" t="str">
        <f aca="false">IF(D10&lt;=10,"Yaxın (&lt;=10 dəq)",IF(D10&lt;=20,"Orta (11-20 dəq)","Uzaq (20+ dəq)"))</f>
        <v>Yaxın (&lt;=10 dəq)</v>
      </c>
      <c r="Y10" s="4" t="str">
        <f aca="false">IF(I10&lt;60,"Kiçik (&lt;60 m²)",IF(I10&lt;90,"Orta (60-90 m²)",IF(I10&lt;120,"Böyük (90-120 m²)","Çox böyük (120+ m²)")))</f>
        <v>Kiçik (&lt;60 m²)</v>
      </c>
      <c r="Z10" s="4" t="str">
        <f aca="false">IF(P10&lt;70000,"Ekonom (&lt;70K)",IF(P10&lt;120000,"Orta (70-120K)",IF(P10&lt;200000,"Yüksək (120-200K)","Premium (200K+)")))</f>
        <v>Orta (70-120K)</v>
      </c>
      <c r="AA10" s="4" t="str">
        <f aca="false">IF(G10&lt;=5,"Yeni (0-5)",IF(G10&lt;=15,"Orta-yeni (6-15)",IF(G10&lt;=30,"Orta (16-30)","Köhnə (30+)")))</f>
        <v>Orta (16-30)</v>
      </c>
      <c r="AB10" s="4" t="n">
        <f aca="false">ROUND((Q10*12)/P10*100,2)</f>
        <v>5.28</v>
      </c>
      <c r="AC10" s="4" t="n">
        <f aca="false">Q10-R10</f>
        <v>270</v>
      </c>
    </row>
    <row r="11" customFormat="false" ht="14.25" hidden="false" customHeight="false" outlineLevel="0" collapsed="false">
      <c r="A11" s="3" t="s">
        <v>70</v>
      </c>
      <c r="B11" s="3" t="s">
        <v>71</v>
      </c>
      <c r="C11" s="3" t="s">
        <v>72</v>
      </c>
      <c r="D11" s="3" t="n">
        <v>35</v>
      </c>
      <c r="E11" s="3" t="s">
        <v>32</v>
      </c>
      <c r="F11" s="3" t="n">
        <v>2005</v>
      </c>
      <c r="G11" s="3" t="n">
        <v>20</v>
      </c>
      <c r="H11" s="3" t="n">
        <v>3</v>
      </c>
      <c r="I11" s="3" t="n">
        <v>88.3</v>
      </c>
      <c r="J11" s="3" t="n">
        <v>7</v>
      </c>
      <c r="K11" s="3" t="n">
        <v>9</v>
      </c>
      <c r="L11" s="3" t="s">
        <v>73</v>
      </c>
      <c r="M11" s="3" t="s">
        <v>34</v>
      </c>
      <c r="N11" s="3" t="s">
        <v>34</v>
      </c>
      <c r="O11" s="3" t="n">
        <v>2399</v>
      </c>
      <c r="P11" s="3" t="n">
        <v>211800</v>
      </c>
      <c r="Q11" s="3" t="n">
        <v>1200</v>
      </c>
      <c r="R11" s="3" t="n">
        <v>140</v>
      </c>
      <c r="S11" s="3" t="s">
        <v>74</v>
      </c>
      <c r="T11" s="3" t="n">
        <v>49</v>
      </c>
      <c r="U11" s="4" t="n">
        <f aca="false">YEAR(S11)</f>
        <v>2025</v>
      </c>
      <c r="V11" s="4" t="n">
        <f aca="false">MONTH(S11)</f>
        <v>1</v>
      </c>
      <c r="W11" s="4" t="n">
        <f aca="false">ROUNDUP(MONTH(S11)/3,0)</f>
        <v>1</v>
      </c>
      <c r="X11" s="4" t="str">
        <f aca="false">IF(D11&lt;=10,"Yaxın (&lt;=10 dəq)",IF(D11&lt;=20,"Orta (11-20 dəq)","Uzaq (20+ dəq)"))</f>
        <v>Uzaq (20+ dəq)</v>
      </c>
      <c r="Y11" s="4" t="str">
        <f aca="false">IF(I11&lt;60,"Kiçik (&lt;60 m²)",IF(I11&lt;90,"Orta (60-90 m²)",IF(I11&lt;120,"Böyük (90-120 m²)","Çox böyük (120+ m²)")))</f>
        <v>Orta (60-90 m²)</v>
      </c>
      <c r="Z11" s="4" t="str">
        <f aca="false">IF(P11&lt;70000,"Ekonom (&lt;70K)",IF(P11&lt;120000,"Orta (70-120K)",IF(P11&lt;200000,"Yüksək (120-200K)","Premium (200K+)")))</f>
        <v>Premium (200K+)</v>
      </c>
      <c r="AA11" s="4" t="str">
        <f aca="false">IF(G11&lt;=5,"Yeni (0-5)",IF(G11&lt;=15,"Orta-yeni (6-15)",IF(G11&lt;=30,"Orta (16-30)","Köhnə (30+)")))</f>
        <v>Orta (16-30)</v>
      </c>
      <c r="AB11" s="4" t="n">
        <f aca="false">ROUND((Q11*12)/P11*100,2)</f>
        <v>6.8</v>
      </c>
      <c r="AC11" s="4" t="n">
        <f aca="false">Q11-R11</f>
        <v>1060</v>
      </c>
    </row>
    <row r="12" customFormat="false" ht="14.25" hidden="false" customHeight="false" outlineLevel="0" collapsed="false">
      <c r="A12" s="3" t="s">
        <v>75</v>
      </c>
      <c r="B12" s="3" t="s">
        <v>76</v>
      </c>
      <c r="C12" s="3" t="s">
        <v>77</v>
      </c>
      <c r="D12" s="3" t="n">
        <v>4</v>
      </c>
      <c r="E12" s="3" t="s">
        <v>52</v>
      </c>
      <c r="F12" s="3" t="n">
        <v>1976</v>
      </c>
      <c r="G12" s="3" t="n">
        <v>49</v>
      </c>
      <c r="H12" s="3" t="n">
        <v>2</v>
      </c>
      <c r="I12" s="3" t="n">
        <v>69.3</v>
      </c>
      <c r="J12" s="3" t="n">
        <v>1</v>
      </c>
      <c r="K12" s="3" t="n">
        <v>5</v>
      </c>
      <c r="L12" s="3" t="s">
        <v>53</v>
      </c>
      <c r="M12" s="3" t="s">
        <v>39</v>
      </c>
      <c r="N12" s="3" t="s">
        <v>34</v>
      </c>
      <c r="O12" s="3" t="n">
        <v>1536</v>
      </c>
      <c r="P12" s="3" t="n">
        <v>106400</v>
      </c>
      <c r="Q12" s="3" t="n">
        <v>480</v>
      </c>
      <c r="R12" s="3" t="n">
        <v>125</v>
      </c>
      <c r="S12" s="3" t="s">
        <v>78</v>
      </c>
      <c r="T12" s="3" t="n">
        <v>74</v>
      </c>
      <c r="U12" s="4" t="n">
        <f aca="false">YEAR(S12)</f>
        <v>2024</v>
      </c>
      <c r="V12" s="4" t="n">
        <f aca="false">MONTH(S12)</f>
        <v>4</v>
      </c>
      <c r="W12" s="4" t="n">
        <f aca="false">ROUNDUP(MONTH(S12)/3,0)</f>
        <v>2</v>
      </c>
      <c r="X12" s="4" t="str">
        <f aca="false">IF(D12&lt;=10,"Yaxın (&lt;=10 dəq)",IF(D12&lt;=20,"Orta (11-20 dəq)","Uzaq (20+ dəq)"))</f>
        <v>Yaxın (&lt;=10 dəq)</v>
      </c>
      <c r="Y12" s="4" t="str">
        <f aca="false">IF(I12&lt;60,"Kiçik (&lt;60 m²)",IF(I12&lt;90,"Orta (60-90 m²)",IF(I12&lt;120,"Böyük (90-120 m²)","Çox böyük (120+ m²)")))</f>
        <v>Orta (60-90 m²)</v>
      </c>
      <c r="Z12" s="4" t="str">
        <f aca="false">IF(P12&lt;70000,"Ekonom (&lt;70K)",IF(P12&lt;120000,"Orta (70-120K)",IF(P12&lt;200000,"Yüksək (120-200K)","Premium (200K+)")))</f>
        <v>Orta (70-120K)</v>
      </c>
      <c r="AA12" s="4" t="str">
        <f aca="false">IF(G12&lt;=5,"Yeni (0-5)",IF(G12&lt;=15,"Orta-yeni (6-15)",IF(G12&lt;=30,"Orta (16-30)","Köhnə (30+)")))</f>
        <v>Köhnə (30+)</v>
      </c>
      <c r="AB12" s="4" t="n">
        <f aca="false">ROUND((Q12*12)/P12*100,2)</f>
        <v>5.41</v>
      </c>
      <c r="AC12" s="4" t="n">
        <f aca="false">Q12-R12</f>
        <v>355</v>
      </c>
    </row>
    <row r="13" customFormat="false" ht="14.25" hidden="false" customHeight="false" outlineLevel="0" collapsed="false">
      <c r="A13" s="3" t="s">
        <v>79</v>
      </c>
      <c r="B13" s="3" t="s">
        <v>76</v>
      </c>
      <c r="C13" s="3" t="s">
        <v>77</v>
      </c>
      <c r="D13" s="3" t="n">
        <v>13</v>
      </c>
      <c r="E13" s="3" t="s">
        <v>32</v>
      </c>
      <c r="F13" s="3" t="n">
        <v>2024</v>
      </c>
      <c r="G13" s="3" t="n">
        <v>1</v>
      </c>
      <c r="H13" s="3" t="n">
        <v>5</v>
      </c>
      <c r="I13" s="3" t="n">
        <v>165.1</v>
      </c>
      <c r="J13" s="3" t="n">
        <v>5</v>
      </c>
      <c r="K13" s="3" t="n">
        <v>9</v>
      </c>
      <c r="L13" s="3" t="s">
        <v>73</v>
      </c>
      <c r="M13" s="3" t="s">
        <v>34</v>
      </c>
      <c r="N13" s="3" t="s">
        <v>34</v>
      </c>
      <c r="O13" s="3" t="n">
        <v>2310</v>
      </c>
      <c r="P13" s="3" t="n">
        <v>381400</v>
      </c>
      <c r="Q13" s="3" t="n">
        <v>1990</v>
      </c>
      <c r="R13" s="3" t="n">
        <v>245</v>
      </c>
      <c r="S13" s="3" t="s">
        <v>80</v>
      </c>
      <c r="T13" s="3" t="n">
        <v>125</v>
      </c>
      <c r="U13" s="4" t="n">
        <f aca="false">YEAR(S13)</f>
        <v>2024</v>
      </c>
      <c r="V13" s="4" t="n">
        <f aca="false">MONTH(S13)</f>
        <v>11</v>
      </c>
      <c r="W13" s="4" t="n">
        <f aca="false">ROUNDUP(MONTH(S13)/3,0)</f>
        <v>4</v>
      </c>
      <c r="X13" s="4" t="str">
        <f aca="false">IF(D13&lt;=10,"Yaxın (&lt;=10 dəq)",IF(D13&lt;=20,"Orta (11-20 dəq)","Uzaq (20+ dəq)"))</f>
        <v>Orta (11-20 dəq)</v>
      </c>
      <c r="Y13" s="4" t="str">
        <f aca="false">IF(I13&lt;60,"Kiçik (&lt;60 m²)",IF(I13&lt;90,"Orta (60-90 m²)",IF(I13&lt;120,"Böyük (90-120 m²)","Çox böyük (120+ m²)")))</f>
        <v>Çox böyük (120+ m²)</v>
      </c>
      <c r="Z13" s="4" t="str">
        <f aca="false">IF(P13&lt;70000,"Ekonom (&lt;70K)",IF(P13&lt;120000,"Orta (70-120K)",IF(P13&lt;200000,"Yüksək (120-200K)","Premium (200K+)")))</f>
        <v>Premium (200K+)</v>
      </c>
      <c r="AA13" s="4" t="str">
        <f aca="false">IF(G13&lt;=5,"Yeni (0-5)",IF(G13&lt;=15,"Orta-yeni (6-15)",IF(G13&lt;=30,"Orta (16-30)","Köhnə (30+)")))</f>
        <v>Yeni (0-5)</v>
      </c>
      <c r="AB13" s="4" t="n">
        <f aca="false">ROUND((Q13*12)/P13*100,2)</f>
        <v>6.26</v>
      </c>
      <c r="AC13" s="4" t="n">
        <f aca="false">Q13-R13</f>
        <v>1745</v>
      </c>
    </row>
    <row r="14" customFormat="false" ht="14.25" hidden="false" customHeight="false" outlineLevel="0" collapsed="false">
      <c r="A14" s="3" t="s">
        <v>81</v>
      </c>
      <c r="B14" s="3" t="s">
        <v>64</v>
      </c>
      <c r="C14" s="3" t="s">
        <v>68</v>
      </c>
      <c r="D14" s="3" t="n">
        <v>11</v>
      </c>
      <c r="E14" s="3" t="s">
        <v>32</v>
      </c>
      <c r="F14" s="3" t="n">
        <v>2017</v>
      </c>
      <c r="G14" s="3" t="n">
        <v>8</v>
      </c>
      <c r="H14" s="3" t="n">
        <v>3</v>
      </c>
      <c r="I14" s="3" t="n">
        <v>80.2</v>
      </c>
      <c r="J14" s="3" t="n">
        <v>4</v>
      </c>
      <c r="K14" s="3" t="n">
        <v>12</v>
      </c>
      <c r="L14" s="3" t="s">
        <v>73</v>
      </c>
      <c r="M14" s="3" t="s">
        <v>39</v>
      </c>
      <c r="N14" s="3" t="s">
        <v>34</v>
      </c>
      <c r="O14" s="3" t="n">
        <v>2365</v>
      </c>
      <c r="P14" s="3" t="n">
        <v>189700</v>
      </c>
      <c r="Q14" s="3" t="n">
        <v>980</v>
      </c>
      <c r="R14" s="3" t="n">
        <v>135</v>
      </c>
      <c r="S14" s="3" t="s">
        <v>82</v>
      </c>
      <c r="T14" s="3" t="n">
        <v>27</v>
      </c>
      <c r="U14" s="4" t="n">
        <f aca="false">YEAR(S14)</f>
        <v>2024</v>
      </c>
      <c r="V14" s="4" t="n">
        <f aca="false">MONTH(S14)</f>
        <v>3</v>
      </c>
      <c r="W14" s="4" t="n">
        <f aca="false">ROUNDUP(MONTH(S14)/3,0)</f>
        <v>1</v>
      </c>
      <c r="X14" s="4" t="str">
        <f aca="false">IF(D14&lt;=10,"Yaxın (&lt;=10 dəq)",IF(D14&lt;=20,"Orta (11-20 dəq)","Uzaq (20+ dəq)"))</f>
        <v>Orta (11-20 dəq)</v>
      </c>
      <c r="Y14" s="4" t="str">
        <f aca="false">IF(I14&lt;60,"Kiçik (&lt;60 m²)",IF(I14&lt;90,"Orta (60-90 m²)",IF(I14&lt;120,"Böyük (90-120 m²)","Çox böyük (120+ m²)")))</f>
        <v>Orta (60-90 m²)</v>
      </c>
      <c r="Z14" s="4" t="str">
        <f aca="false">IF(P14&lt;70000,"Ekonom (&lt;70K)",IF(P14&lt;120000,"Orta (70-120K)",IF(P14&lt;200000,"Yüksək (120-200K)","Premium (200K+)")))</f>
        <v>Yüksək (120-200K)</v>
      </c>
      <c r="AA14" s="4" t="str">
        <f aca="false">IF(G14&lt;=5,"Yeni (0-5)",IF(G14&lt;=15,"Orta-yeni (6-15)",IF(G14&lt;=30,"Orta (16-30)","Köhnə (30+)")))</f>
        <v>Orta-yeni (6-15)</v>
      </c>
      <c r="AB14" s="4" t="n">
        <f aca="false">ROUND((Q14*12)/P14*100,2)</f>
        <v>6.2</v>
      </c>
      <c r="AC14" s="4" t="n">
        <f aca="false">Q14-R14</f>
        <v>845</v>
      </c>
    </row>
    <row r="15" customFormat="false" ht="14.25" hidden="false" customHeight="false" outlineLevel="0" collapsed="false">
      <c r="A15" s="3" t="s">
        <v>83</v>
      </c>
      <c r="B15" s="3" t="s">
        <v>60</v>
      </c>
      <c r="C15" s="3" t="s">
        <v>84</v>
      </c>
      <c r="D15" s="3" t="n">
        <v>27</v>
      </c>
      <c r="E15" s="3" t="s">
        <v>52</v>
      </c>
      <c r="F15" s="3" t="n">
        <v>1995</v>
      </c>
      <c r="G15" s="3" t="n">
        <v>30</v>
      </c>
      <c r="H15" s="3" t="n">
        <v>3</v>
      </c>
      <c r="I15" s="3" t="n">
        <v>82.3</v>
      </c>
      <c r="J15" s="3" t="n">
        <v>2</v>
      </c>
      <c r="K15" s="3" t="n">
        <v>5</v>
      </c>
      <c r="L15" s="3" t="s">
        <v>33</v>
      </c>
      <c r="M15" s="3" t="s">
        <v>39</v>
      </c>
      <c r="N15" s="3" t="s">
        <v>34</v>
      </c>
      <c r="O15" s="3" t="n">
        <v>1458</v>
      </c>
      <c r="P15" s="3" t="n">
        <v>120000</v>
      </c>
      <c r="Q15" s="3" t="n">
        <v>600</v>
      </c>
      <c r="R15" s="3" t="n">
        <v>150</v>
      </c>
      <c r="S15" s="3" t="s">
        <v>85</v>
      </c>
      <c r="T15" s="3" t="n">
        <v>80</v>
      </c>
      <c r="U15" s="4" t="n">
        <f aca="false">YEAR(S15)</f>
        <v>2024</v>
      </c>
      <c r="V15" s="4" t="n">
        <f aca="false">MONTH(S15)</f>
        <v>12</v>
      </c>
      <c r="W15" s="4" t="n">
        <f aca="false">ROUNDUP(MONTH(S15)/3,0)</f>
        <v>4</v>
      </c>
      <c r="X15" s="4" t="str">
        <f aca="false">IF(D15&lt;=10,"Yaxın (&lt;=10 dəq)",IF(D15&lt;=20,"Orta (11-20 dəq)","Uzaq (20+ dəq)"))</f>
        <v>Uzaq (20+ dəq)</v>
      </c>
      <c r="Y15" s="4" t="str">
        <f aca="false">IF(I15&lt;60,"Kiçik (&lt;60 m²)",IF(I15&lt;90,"Orta (60-90 m²)",IF(I15&lt;120,"Böyük (90-120 m²)","Çox böyük (120+ m²)")))</f>
        <v>Orta (60-90 m²)</v>
      </c>
      <c r="Z15" s="4" t="str">
        <f aca="false">IF(P15&lt;70000,"Ekonom (&lt;70K)",IF(P15&lt;120000,"Orta (70-120K)",IF(P15&lt;200000,"Yüksək (120-200K)","Premium (200K+)")))</f>
        <v>Yüksək (120-200K)</v>
      </c>
      <c r="AA15" s="4" t="str">
        <f aca="false">IF(G15&lt;=5,"Yeni (0-5)",IF(G15&lt;=15,"Orta-yeni (6-15)",IF(G15&lt;=30,"Orta (16-30)","Köhnə (30+)")))</f>
        <v>Orta (16-30)</v>
      </c>
      <c r="AB15" s="4" t="n">
        <f aca="false">ROUND((Q15*12)/P15*100,2)</f>
        <v>6</v>
      </c>
      <c r="AC15" s="4" t="n">
        <f aca="false">Q15-R15</f>
        <v>450</v>
      </c>
    </row>
    <row r="16" customFormat="false" ht="14.25" hidden="false" customHeight="false" outlineLevel="0" collapsed="false">
      <c r="A16" s="3" t="s">
        <v>86</v>
      </c>
      <c r="B16" s="3" t="s">
        <v>56</v>
      </c>
      <c r="C16" s="3" t="s">
        <v>51</v>
      </c>
      <c r="D16" s="3" t="n">
        <v>11</v>
      </c>
      <c r="E16" s="3" t="s">
        <v>32</v>
      </c>
      <c r="F16" s="3" t="n">
        <v>2009</v>
      </c>
      <c r="G16" s="3" t="n">
        <v>16</v>
      </c>
      <c r="H16" s="3" t="n">
        <v>3</v>
      </c>
      <c r="I16" s="3" t="n">
        <v>77.7</v>
      </c>
      <c r="J16" s="3" t="n">
        <v>7</v>
      </c>
      <c r="K16" s="3" t="n">
        <v>20</v>
      </c>
      <c r="L16" s="3" t="s">
        <v>53</v>
      </c>
      <c r="M16" s="3" t="s">
        <v>34</v>
      </c>
      <c r="N16" s="3" t="s">
        <v>34</v>
      </c>
      <c r="O16" s="3" t="n">
        <v>1610</v>
      </c>
      <c r="P16" s="3" t="n">
        <v>125100</v>
      </c>
      <c r="Q16" s="3" t="n">
        <v>560</v>
      </c>
      <c r="R16" s="3" t="n">
        <v>125</v>
      </c>
      <c r="S16" s="3" t="s">
        <v>87</v>
      </c>
      <c r="T16" s="3" t="n">
        <v>27</v>
      </c>
      <c r="U16" s="4" t="n">
        <f aca="false">YEAR(S16)</f>
        <v>2024</v>
      </c>
      <c r="V16" s="4" t="n">
        <f aca="false">MONTH(S16)</f>
        <v>9</v>
      </c>
      <c r="W16" s="4" t="n">
        <f aca="false">ROUNDUP(MONTH(S16)/3,0)</f>
        <v>3</v>
      </c>
      <c r="X16" s="4" t="str">
        <f aca="false">IF(D16&lt;=10,"Yaxın (&lt;=10 dəq)",IF(D16&lt;=20,"Orta (11-20 dəq)","Uzaq (20+ dəq)"))</f>
        <v>Orta (11-20 dəq)</v>
      </c>
      <c r="Y16" s="4" t="str">
        <f aca="false">IF(I16&lt;60,"Kiçik (&lt;60 m²)",IF(I16&lt;90,"Orta (60-90 m²)",IF(I16&lt;120,"Böyük (90-120 m²)","Çox böyük (120+ m²)")))</f>
        <v>Orta (60-90 m²)</v>
      </c>
      <c r="Z16" s="4" t="str">
        <f aca="false">IF(P16&lt;70000,"Ekonom (&lt;70K)",IF(P16&lt;120000,"Orta (70-120K)",IF(P16&lt;200000,"Yüksək (120-200K)","Premium (200K+)")))</f>
        <v>Yüksək (120-200K)</v>
      </c>
      <c r="AA16" s="4" t="str">
        <f aca="false">IF(G16&lt;=5,"Yeni (0-5)",IF(G16&lt;=15,"Orta-yeni (6-15)",IF(G16&lt;=30,"Orta (16-30)","Köhnə (30+)")))</f>
        <v>Orta (16-30)</v>
      </c>
      <c r="AB16" s="4" t="n">
        <f aca="false">ROUND((Q16*12)/P16*100,2)</f>
        <v>5.37</v>
      </c>
      <c r="AC16" s="4" t="n">
        <f aca="false">Q16-R16</f>
        <v>435</v>
      </c>
    </row>
    <row r="17" customFormat="false" ht="14.25" hidden="false" customHeight="false" outlineLevel="0" collapsed="false">
      <c r="A17" s="3" t="s">
        <v>88</v>
      </c>
      <c r="B17" s="3" t="s">
        <v>46</v>
      </c>
      <c r="C17" s="3" t="s">
        <v>46</v>
      </c>
      <c r="D17" s="3" t="n">
        <v>10</v>
      </c>
      <c r="E17" s="3" t="s">
        <v>32</v>
      </c>
      <c r="F17" s="3" t="n">
        <v>2013</v>
      </c>
      <c r="G17" s="3" t="n">
        <v>12</v>
      </c>
      <c r="H17" s="3" t="n">
        <v>1</v>
      </c>
      <c r="I17" s="3" t="n">
        <v>39.6</v>
      </c>
      <c r="J17" s="3" t="n">
        <v>19</v>
      </c>
      <c r="K17" s="3" t="n">
        <v>20</v>
      </c>
      <c r="L17" s="3" t="s">
        <v>33</v>
      </c>
      <c r="M17" s="3" t="s">
        <v>39</v>
      </c>
      <c r="N17" s="3" t="s">
        <v>39</v>
      </c>
      <c r="O17" s="3" t="n">
        <v>1050</v>
      </c>
      <c r="P17" s="3" t="n">
        <v>41600</v>
      </c>
      <c r="Q17" s="3" t="n">
        <v>180</v>
      </c>
      <c r="R17" s="3" t="n">
        <v>85</v>
      </c>
      <c r="S17" s="3" t="s">
        <v>89</v>
      </c>
      <c r="T17" s="3" t="n">
        <v>35</v>
      </c>
      <c r="U17" s="4" t="n">
        <f aca="false">YEAR(S17)</f>
        <v>2025</v>
      </c>
      <c r="V17" s="4" t="n">
        <f aca="false">MONTH(S17)</f>
        <v>2</v>
      </c>
      <c r="W17" s="4" t="n">
        <f aca="false">ROUNDUP(MONTH(S17)/3,0)</f>
        <v>1</v>
      </c>
      <c r="X17" s="4" t="str">
        <f aca="false">IF(D17&lt;=10,"Yaxın (&lt;=10 dəq)",IF(D17&lt;=20,"Orta (11-20 dəq)","Uzaq (20+ dəq)"))</f>
        <v>Yaxın (&lt;=10 dəq)</v>
      </c>
      <c r="Y17" s="4" t="str">
        <f aca="false">IF(I17&lt;60,"Kiçik (&lt;60 m²)",IF(I17&lt;90,"Orta (60-90 m²)",IF(I17&lt;120,"Böyük (90-120 m²)","Çox böyük (120+ m²)")))</f>
        <v>Kiçik (&lt;60 m²)</v>
      </c>
      <c r="Z17" s="4" t="str">
        <f aca="false">IF(P17&lt;70000,"Ekonom (&lt;70K)",IF(P17&lt;120000,"Orta (70-120K)",IF(P17&lt;200000,"Yüksək (120-200K)","Premium (200K+)")))</f>
        <v>Ekonom (&lt;70K)</v>
      </c>
      <c r="AA17" s="4" t="str">
        <f aca="false">IF(G17&lt;=5,"Yeni (0-5)",IF(G17&lt;=15,"Orta-yeni (6-15)",IF(G17&lt;=30,"Orta (16-30)","Köhnə (30+)")))</f>
        <v>Orta-yeni (6-15)</v>
      </c>
      <c r="AB17" s="4" t="n">
        <f aca="false">ROUND((Q17*12)/P17*100,2)</f>
        <v>5.19</v>
      </c>
      <c r="AC17" s="4" t="n">
        <f aca="false">Q17-R17</f>
        <v>95</v>
      </c>
    </row>
    <row r="18" customFormat="false" ht="14.25" hidden="false" customHeight="false" outlineLevel="0" collapsed="false">
      <c r="A18" s="3" t="s">
        <v>90</v>
      </c>
      <c r="B18" s="3" t="s">
        <v>46</v>
      </c>
      <c r="C18" s="3" t="s">
        <v>46</v>
      </c>
      <c r="D18" s="3" t="n">
        <v>20</v>
      </c>
      <c r="E18" s="3" t="s">
        <v>52</v>
      </c>
      <c r="F18" s="3" t="n">
        <v>1978</v>
      </c>
      <c r="G18" s="3" t="n">
        <v>47</v>
      </c>
      <c r="H18" s="3" t="n">
        <v>4</v>
      </c>
      <c r="I18" s="3" t="n">
        <v>140.6</v>
      </c>
      <c r="J18" s="3" t="n">
        <v>4</v>
      </c>
      <c r="K18" s="3" t="n">
        <v>5</v>
      </c>
      <c r="L18" s="3" t="s">
        <v>33</v>
      </c>
      <c r="M18" s="3" t="s">
        <v>34</v>
      </c>
      <c r="N18" s="3" t="s">
        <v>34</v>
      </c>
      <c r="O18" s="3" t="n">
        <v>725</v>
      </c>
      <c r="P18" s="3" t="n">
        <v>101900</v>
      </c>
      <c r="Q18" s="3" t="n">
        <v>500</v>
      </c>
      <c r="R18" s="3" t="n">
        <v>175</v>
      </c>
      <c r="S18" s="3" t="s">
        <v>91</v>
      </c>
      <c r="T18" s="3" t="n">
        <v>60</v>
      </c>
      <c r="U18" s="4" t="n">
        <f aca="false">YEAR(S18)</f>
        <v>2024</v>
      </c>
      <c r="V18" s="4" t="n">
        <f aca="false">MONTH(S18)</f>
        <v>11</v>
      </c>
      <c r="W18" s="4" t="n">
        <f aca="false">ROUNDUP(MONTH(S18)/3,0)</f>
        <v>4</v>
      </c>
      <c r="X18" s="4" t="str">
        <f aca="false">IF(D18&lt;=10,"Yaxın (&lt;=10 dəq)",IF(D18&lt;=20,"Orta (11-20 dəq)","Uzaq (20+ dəq)"))</f>
        <v>Orta (11-20 dəq)</v>
      </c>
      <c r="Y18" s="4" t="str">
        <f aca="false">IF(I18&lt;60,"Kiçik (&lt;60 m²)",IF(I18&lt;90,"Orta (60-90 m²)",IF(I18&lt;120,"Böyük (90-120 m²)","Çox böyük (120+ m²)")))</f>
        <v>Çox böyük (120+ m²)</v>
      </c>
      <c r="Z18" s="4" t="str">
        <f aca="false">IF(P18&lt;70000,"Ekonom (&lt;70K)",IF(P18&lt;120000,"Orta (70-120K)",IF(P18&lt;200000,"Yüksək (120-200K)","Premium (200K+)")))</f>
        <v>Orta (70-120K)</v>
      </c>
      <c r="AA18" s="4" t="str">
        <f aca="false">IF(G18&lt;=5,"Yeni (0-5)",IF(G18&lt;=15,"Orta-yeni (6-15)",IF(G18&lt;=30,"Orta (16-30)","Köhnə (30+)")))</f>
        <v>Köhnə (30+)</v>
      </c>
      <c r="AB18" s="4" t="n">
        <f aca="false">ROUND((Q18*12)/P18*100,2)</f>
        <v>5.89</v>
      </c>
      <c r="AC18" s="4" t="n">
        <f aca="false">Q18-R18</f>
        <v>325</v>
      </c>
    </row>
    <row r="19" customFormat="false" ht="14.25" hidden="false" customHeight="false" outlineLevel="0" collapsed="false">
      <c r="A19" s="3" t="s">
        <v>92</v>
      </c>
      <c r="B19" s="3" t="s">
        <v>71</v>
      </c>
      <c r="C19" s="3" t="s">
        <v>65</v>
      </c>
      <c r="D19" s="3" t="n">
        <v>9</v>
      </c>
      <c r="E19" s="3" t="s">
        <v>52</v>
      </c>
      <c r="F19" s="3" t="n">
        <v>1991</v>
      </c>
      <c r="G19" s="3" t="n">
        <v>34</v>
      </c>
      <c r="H19" s="3" t="n">
        <v>2</v>
      </c>
      <c r="I19" s="3" t="n">
        <v>80.8</v>
      </c>
      <c r="J19" s="3" t="n">
        <v>8</v>
      </c>
      <c r="K19" s="3" t="n">
        <v>9</v>
      </c>
      <c r="L19" s="3" t="s">
        <v>33</v>
      </c>
      <c r="M19" s="3" t="s">
        <v>39</v>
      </c>
      <c r="N19" s="3" t="s">
        <v>39</v>
      </c>
      <c r="O19" s="3" t="n">
        <v>1320</v>
      </c>
      <c r="P19" s="3" t="n">
        <v>106700</v>
      </c>
      <c r="Q19" s="3" t="n">
        <v>490</v>
      </c>
      <c r="R19" s="3" t="n">
        <v>135</v>
      </c>
      <c r="S19" s="3" t="s">
        <v>93</v>
      </c>
      <c r="T19" s="3" t="n">
        <v>60</v>
      </c>
      <c r="U19" s="4" t="n">
        <f aca="false">YEAR(S19)</f>
        <v>2025</v>
      </c>
      <c r="V19" s="4" t="n">
        <f aca="false">MONTH(S19)</f>
        <v>1</v>
      </c>
      <c r="W19" s="4" t="n">
        <f aca="false">ROUNDUP(MONTH(S19)/3,0)</f>
        <v>1</v>
      </c>
      <c r="X19" s="4" t="str">
        <f aca="false">IF(D19&lt;=10,"Yaxın (&lt;=10 dəq)",IF(D19&lt;=20,"Orta (11-20 dəq)","Uzaq (20+ dəq)"))</f>
        <v>Yaxın (&lt;=10 dəq)</v>
      </c>
      <c r="Y19" s="4" t="str">
        <f aca="false">IF(I19&lt;60,"Kiçik (&lt;60 m²)",IF(I19&lt;90,"Orta (60-90 m²)",IF(I19&lt;120,"Böyük (90-120 m²)","Çox böyük (120+ m²)")))</f>
        <v>Orta (60-90 m²)</v>
      </c>
      <c r="Z19" s="4" t="str">
        <f aca="false">IF(P19&lt;70000,"Ekonom (&lt;70K)",IF(P19&lt;120000,"Orta (70-120K)",IF(P19&lt;200000,"Yüksək (120-200K)","Premium (200K+)")))</f>
        <v>Orta (70-120K)</v>
      </c>
      <c r="AA19" s="4" t="str">
        <f aca="false">IF(G19&lt;=5,"Yeni (0-5)",IF(G19&lt;=15,"Orta-yeni (6-15)",IF(G19&lt;=30,"Orta (16-30)","Köhnə (30+)")))</f>
        <v>Köhnə (30+)</v>
      </c>
      <c r="AB19" s="4" t="n">
        <f aca="false">ROUND((Q19*12)/P19*100,2)</f>
        <v>5.51</v>
      </c>
      <c r="AC19" s="4" t="n">
        <f aca="false">Q19-R19</f>
        <v>355</v>
      </c>
    </row>
    <row r="20" customFormat="false" ht="14.25" hidden="false" customHeight="false" outlineLevel="0" collapsed="false">
      <c r="A20" s="3" t="s">
        <v>94</v>
      </c>
      <c r="B20" s="3" t="s">
        <v>60</v>
      </c>
      <c r="C20" s="3" t="s">
        <v>61</v>
      </c>
      <c r="D20" s="3" t="n">
        <v>4</v>
      </c>
      <c r="E20" s="3" t="s">
        <v>52</v>
      </c>
      <c r="F20" s="3" t="n">
        <v>1990</v>
      </c>
      <c r="G20" s="3" t="n">
        <v>35</v>
      </c>
      <c r="H20" s="3" t="n">
        <v>3</v>
      </c>
      <c r="I20" s="3" t="n">
        <v>91.6</v>
      </c>
      <c r="J20" s="3" t="n">
        <v>9</v>
      </c>
      <c r="K20" s="3" t="n">
        <v>9</v>
      </c>
      <c r="L20" s="3" t="s">
        <v>73</v>
      </c>
      <c r="M20" s="3" t="s">
        <v>34</v>
      </c>
      <c r="N20" s="3" t="s">
        <v>34</v>
      </c>
      <c r="O20" s="3" t="n">
        <v>1922</v>
      </c>
      <c r="P20" s="3" t="n">
        <v>176100</v>
      </c>
      <c r="Q20" s="3" t="n">
        <v>1000</v>
      </c>
      <c r="R20" s="3" t="n">
        <v>135</v>
      </c>
      <c r="S20" s="3" t="s">
        <v>54</v>
      </c>
      <c r="T20" s="3" t="n">
        <v>129</v>
      </c>
      <c r="U20" s="4" t="n">
        <f aca="false">YEAR(S20)</f>
        <v>2024</v>
      </c>
      <c r="V20" s="4" t="n">
        <f aca="false">MONTH(S20)</f>
        <v>3</v>
      </c>
      <c r="W20" s="4" t="n">
        <f aca="false">ROUNDUP(MONTH(S20)/3,0)</f>
        <v>1</v>
      </c>
      <c r="X20" s="4" t="str">
        <f aca="false">IF(D20&lt;=10,"Yaxın (&lt;=10 dəq)",IF(D20&lt;=20,"Orta (11-20 dəq)","Uzaq (20+ dəq)"))</f>
        <v>Yaxın (&lt;=10 dəq)</v>
      </c>
      <c r="Y20" s="4" t="str">
        <f aca="false">IF(I20&lt;60,"Kiçik (&lt;60 m²)",IF(I20&lt;90,"Orta (60-90 m²)",IF(I20&lt;120,"Böyük (90-120 m²)","Çox böyük (120+ m²)")))</f>
        <v>Böyük (90-120 m²)</v>
      </c>
      <c r="Z20" s="4" t="str">
        <f aca="false">IF(P20&lt;70000,"Ekonom (&lt;70K)",IF(P20&lt;120000,"Orta (70-120K)",IF(P20&lt;200000,"Yüksək (120-200K)","Premium (200K+)")))</f>
        <v>Yüksək (120-200K)</v>
      </c>
      <c r="AA20" s="4" t="str">
        <f aca="false">IF(G20&lt;=5,"Yeni (0-5)",IF(G20&lt;=15,"Orta-yeni (6-15)",IF(G20&lt;=30,"Orta (16-30)","Köhnə (30+)")))</f>
        <v>Köhnə (30+)</v>
      </c>
      <c r="AB20" s="4" t="n">
        <f aca="false">ROUND((Q20*12)/P20*100,2)</f>
        <v>6.81</v>
      </c>
      <c r="AC20" s="4" t="n">
        <f aca="false">Q20-R20</f>
        <v>865</v>
      </c>
    </row>
    <row r="21" customFormat="false" ht="14.25" hidden="false" customHeight="false" outlineLevel="0" collapsed="false">
      <c r="A21" s="3" t="s">
        <v>95</v>
      </c>
      <c r="B21" s="3" t="s">
        <v>56</v>
      </c>
      <c r="C21" s="3" t="s">
        <v>51</v>
      </c>
      <c r="D21" s="3" t="n">
        <v>10</v>
      </c>
      <c r="E21" s="3" t="s">
        <v>52</v>
      </c>
      <c r="F21" s="3" t="n">
        <v>1978</v>
      </c>
      <c r="G21" s="3" t="n">
        <v>47</v>
      </c>
      <c r="H21" s="3" t="n">
        <v>2</v>
      </c>
      <c r="I21" s="3" t="n">
        <v>70.4</v>
      </c>
      <c r="J21" s="3" t="n">
        <v>6</v>
      </c>
      <c r="K21" s="3" t="n">
        <v>9</v>
      </c>
      <c r="L21" s="3" t="s">
        <v>33</v>
      </c>
      <c r="M21" s="3" t="s">
        <v>39</v>
      </c>
      <c r="N21" s="3" t="s">
        <v>34</v>
      </c>
      <c r="O21" s="3" t="n">
        <v>852</v>
      </c>
      <c r="P21" s="3" t="n">
        <v>60000</v>
      </c>
      <c r="Q21" s="3" t="n">
        <v>320</v>
      </c>
      <c r="R21" s="3" t="n">
        <v>120</v>
      </c>
      <c r="S21" s="3" t="s">
        <v>96</v>
      </c>
      <c r="T21" s="3" t="n">
        <v>9</v>
      </c>
      <c r="U21" s="4" t="n">
        <f aca="false">YEAR(S21)</f>
        <v>2024</v>
      </c>
      <c r="V21" s="4" t="n">
        <f aca="false">MONTH(S21)</f>
        <v>4</v>
      </c>
      <c r="W21" s="4" t="n">
        <f aca="false">ROUNDUP(MONTH(S21)/3,0)</f>
        <v>2</v>
      </c>
      <c r="X21" s="4" t="str">
        <f aca="false">IF(D21&lt;=10,"Yaxın (&lt;=10 dəq)",IF(D21&lt;=20,"Orta (11-20 dəq)","Uzaq (20+ dəq)"))</f>
        <v>Yaxın (&lt;=10 dəq)</v>
      </c>
      <c r="Y21" s="4" t="str">
        <f aca="false">IF(I21&lt;60,"Kiçik (&lt;60 m²)",IF(I21&lt;90,"Orta (60-90 m²)",IF(I21&lt;120,"Böyük (90-120 m²)","Çox böyük (120+ m²)")))</f>
        <v>Orta (60-90 m²)</v>
      </c>
      <c r="Z21" s="4" t="str">
        <f aca="false">IF(P21&lt;70000,"Ekonom (&lt;70K)",IF(P21&lt;120000,"Orta (70-120K)",IF(P21&lt;200000,"Yüksək (120-200K)","Premium (200K+)")))</f>
        <v>Ekonom (&lt;70K)</v>
      </c>
      <c r="AA21" s="4" t="str">
        <f aca="false">IF(G21&lt;=5,"Yeni (0-5)",IF(G21&lt;=15,"Orta-yeni (6-15)",IF(G21&lt;=30,"Orta (16-30)","Köhnə (30+)")))</f>
        <v>Köhnə (30+)</v>
      </c>
      <c r="AB21" s="4" t="n">
        <f aca="false">ROUND((Q21*12)/P21*100,2)</f>
        <v>6.4</v>
      </c>
      <c r="AC21" s="4" t="n">
        <f aca="false">Q21-R21</f>
        <v>200</v>
      </c>
    </row>
    <row r="22" customFormat="false" ht="14.25" hidden="false" customHeight="false" outlineLevel="0" collapsed="false">
      <c r="A22" s="3" t="s">
        <v>97</v>
      </c>
      <c r="B22" s="3" t="s">
        <v>98</v>
      </c>
      <c r="C22" s="3" t="s">
        <v>98</v>
      </c>
      <c r="D22" s="3" t="n">
        <v>10</v>
      </c>
      <c r="E22" s="3" t="s">
        <v>32</v>
      </c>
      <c r="F22" s="3" t="n">
        <v>2015</v>
      </c>
      <c r="G22" s="3" t="n">
        <v>10</v>
      </c>
      <c r="H22" s="3" t="n">
        <v>5</v>
      </c>
      <c r="I22" s="3" t="n">
        <v>155.3</v>
      </c>
      <c r="J22" s="3" t="n">
        <v>11</v>
      </c>
      <c r="K22" s="3" t="n">
        <v>16</v>
      </c>
      <c r="L22" s="3" t="s">
        <v>33</v>
      </c>
      <c r="M22" s="3" t="s">
        <v>34</v>
      </c>
      <c r="N22" s="3" t="s">
        <v>34</v>
      </c>
      <c r="O22" s="3" t="n">
        <v>1571</v>
      </c>
      <c r="P22" s="3" t="n">
        <v>244000</v>
      </c>
      <c r="Q22" s="3" t="n">
        <v>1120</v>
      </c>
      <c r="R22" s="3" t="n">
        <v>195</v>
      </c>
      <c r="S22" s="3" t="s">
        <v>99</v>
      </c>
      <c r="T22" s="3" t="n">
        <v>114</v>
      </c>
      <c r="U22" s="4" t="n">
        <f aca="false">YEAR(S22)</f>
        <v>2024</v>
      </c>
      <c r="V22" s="4" t="n">
        <f aca="false">MONTH(S22)</f>
        <v>4</v>
      </c>
      <c r="W22" s="4" t="n">
        <f aca="false">ROUNDUP(MONTH(S22)/3,0)</f>
        <v>2</v>
      </c>
      <c r="X22" s="4" t="str">
        <f aca="false">IF(D22&lt;=10,"Yaxın (&lt;=10 dəq)",IF(D22&lt;=20,"Orta (11-20 dəq)","Uzaq (20+ dəq)"))</f>
        <v>Yaxın (&lt;=10 dəq)</v>
      </c>
      <c r="Y22" s="4" t="str">
        <f aca="false">IF(I22&lt;60,"Kiçik (&lt;60 m²)",IF(I22&lt;90,"Orta (60-90 m²)",IF(I22&lt;120,"Böyük (90-120 m²)","Çox böyük (120+ m²)")))</f>
        <v>Çox böyük (120+ m²)</v>
      </c>
      <c r="Z22" s="4" t="str">
        <f aca="false">IF(P22&lt;70000,"Ekonom (&lt;70K)",IF(P22&lt;120000,"Orta (70-120K)",IF(P22&lt;200000,"Yüksək (120-200K)","Premium (200K+)")))</f>
        <v>Premium (200K+)</v>
      </c>
      <c r="AA22" s="4" t="str">
        <f aca="false">IF(G22&lt;=5,"Yeni (0-5)",IF(G22&lt;=15,"Orta-yeni (6-15)",IF(G22&lt;=30,"Orta (16-30)","Köhnə (30+)")))</f>
        <v>Orta-yeni (6-15)</v>
      </c>
      <c r="AB22" s="4" t="n">
        <f aca="false">ROUND((Q22*12)/P22*100,2)</f>
        <v>5.51</v>
      </c>
      <c r="AC22" s="4" t="n">
        <f aca="false">Q22-R22</f>
        <v>925</v>
      </c>
    </row>
    <row r="23" customFormat="false" ht="14.25" hidden="false" customHeight="false" outlineLevel="0" collapsed="false">
      <c r="A23" s="3" t="s">
        <v>100</v>
      </c>
      <c r="B23" s="3" t="s">
        <v>50</v>
      </c>
      <c r="C23" s="3" t="s">
        <v>51</v>
      </c>
      <c r="D23" s="3" t="n">
        <v>12</v>
      </c>
      <c r="E23" s="3" t="s">
        <v>52</v>
      </c>
      <c r="F23" s="3" t="n">
        <v>1979</v>
      </c>
      <c r="G23" s="3" t="n">
        <v>46</v>
      </c>
      <c r="H23" s="3" t="n">
        <v>2</v>
      </c>
      <c r="I23" s="3" t="n">
        <v>57.5</v>
      </c>
      <c r="J23" s="3" t="n">
        <v>1</v>
      </c>
      <c r="K23" s="3" t="n">
        <v>9</v>
      </c>
      <c r="L23" s="3" t="s">
        <v>33</v>
      </c>
      <c r="M23" s="3" t="s">
        <v>39</v>
      </c>
      <c r="N23" s="3" t="s">
        <v>34</v>
      </c>
      <c r="O23" s="3" t="n">
        <v>828</v>
      </c>
      <c r="P23" s="3" t="n">
        <v>47600</v>
      </c>
      <c r="Q23" s="3" t="n">
        <v>240</v>
      </c>
      <c r="R23" s="3" t="n">
        <v>100</v>
      </c>
      <c r="S23" s="3" t="s">
        <v>101</v>
      </c>
      <c r="T23" s="3" t="n">
        <v>37</v>
      </c>
      <c r="U23" s="4" t="n">
        <f aca="false">YEAR(S23)</f>
        <v>2024</v>
      </c>
      <c r="V23" s="4" t="n">
        <f aca="false">MONTH(S23)</f>
        <v>7</v>
      </c>
      <c r="W23" s="4" t="n">
        <f aca="false">ROUNDUP(MONTH(S23)/3,0)</f>
        <v>3</v>
      </c>
      <c r="X23" s="4" t="str">
        <f aca="false">IF(D23&lt;=10,"Yaxın (&lt;=10 dəq)",IF(D23&lt;=20,"Orta (11-20 dəq)","Uzaq (20+ dəq)"))</f>
        <v>Orta (11-20 dəq)</v>
      </c>
      <c r="Y23" s="4" t="str">
        <f aca="false">IF(I23&lt;60,"Kiçik (&lt;60 m²)",IF(I23&lt;90,"Orta (60-90 m²)",IF(I23&lt;120,"Böyük (90-120 m²)","Çox böyük (120+ m²)")))</f>
        <v>Kiçik (&lt;60 m²)</v>
      </c>
      <c r="Z23" s="4" t="str">
        <f aca="false">IF(P23&lt;70000,"Ekonom (&lt;70K)",IF(P23&lt;120000,"Orta (70-120K)",IF(P23&lt;200000,"Yüksək (120-200K)","Premium (200K+)")))</f>
        <v>Ekonom (&lt;70K)</v>
      </c>
      <c r="AA23" s="4" t="str">
        <f aca="false">IF(G23&lt;=5,"Yeni (0-5)",IF(G23&lt;=15,"Orta-yeni (6-15)",IF(G23&lt;=30,"Orta (16-30)","Köhnə (30+)")))</f>
        <v>Köhnə (30+)</v>
      </c>
      <c r="AB23" s="4" t="n">
        <f aca="false">ROUND((Q23*12)/P23*100,2)</f>
        <v>6.05</v>
      </c>
      <c r="AC23" s="4" t="n">
        <f aca="false">Q23-R23</f>
        <v>140</v>
      </c>
    </row>
    <row r="24" customFormat="false" ht="14.25" hidden="false" customHeight="false" outlineLevel="0" collapsed="false">
      <c r="A24" s="3" t="s">
        <v>102</v>
      </c>
      <c r="B24" s="3" t="s">
        <v>98</v>
      </c>
      <c r="C24" s="3" t="s">
        <v>103</v>
      </c>
      <c r="D24" s="3" t="n">
        <v>5</v>
      </c>
      <c r="E24" s="3" t="s">
        <v>32</v>
      </c>
      <c r="F24" s="3" t="n">
        <v>2012</v>
      </c>
      <c r="G24" s="3" t="n">
        <v>13</v>
      </c>
      <c r="H24" s="3" t="n">
        <v>2</v>
      </c>
      <c r="I24" s="3" t="n">
        <v>77.8</v>
      </c>
      <c r="J24" s="3" t="n">
        <v>8</v>
      </c>
      <c r="K24" s="3" t="n">
        <v>12</v>
      </c>
      <c r="L24" s="3" t="s">
        <v>73</v>
      </c>
      <c r="M24" s="3" t="s">
        <v>39</v>
      </c>
      <c r="N24" s="3" t="s">
        <v>34</v>
      </c>
      <c r="O24" s="3" t="n">
        <v>2450</v>
      </c>
      <c r="P24" s="3" t="n">
        <v>190600</v>
      </c>
      <c r="Q24" s="3" t="n">
        <v>1060</v>
      </c>
      <c r="R24" s="3" t="n">
        <v>110</v>
      </c>
      <c r="S24" s="3" t="s">
        <v>104</v>
      </c>
      <c r="T24" s="3" t="n">
        <v>89</v>
      </c>
      <c r="U24" s="4" t="n">
        <f aca="false">YEAR(S24)</f>
        <v>2024</v>
      </c>
      <c r="V24" s="4" t="n">
        <f aca="false">MONTH(S24)</f>
        <v>7</v>
      </c>
      <c r="W24" s="4" t="n">
        <f aca="false">ROUNDUP(MONTH(S24)/3,0)</f>
        <v>3</v>
      </c>
      <c r="X24" s="4" t="str">
        <f aca="false">IF(D24&lt;=10,"Yaxın (&lt;=10 dəq)",IF(D24&lt;=20,"Orta (11-20 dəq)","Uzaq (20+ dəq)"))</f>
        <v>Yaxın (&lt;=10 dəq)</v>
      </c>
      <c r="Y24" s="4" t="str">
        <f aca="false">IF(I24&lt;60,"Kiçik (&lt;60 m²)",IF(I24&lt;90,"Orta (60-90 m²)",IF(I24&lt;120,"Böyük (90-120 m²)","Çox böyük (120+ m²)")))</f>
        <v>Orta (60-90 m²)</v>
      </c>
      <c r="Z24" s="4" t="str">
        <f aca="false">IF(P24&lt;70000,"Ekonom (&lt;70K)",IF(P24&lt;120000,"Orta (70-120K)",IF(P24&lt;200000,"Yüksək (120-200K)","Premium (200K+)")))</f>
        <v>Yüksək (120-200K)</v>
      </c>
      <c r="AA24" s="4" t="str">
        <f aca="false">IF(G24&lt;=5,"Yeni (0-5)",IF(G24&lt;=15,"Orta-yeni (6-15)",IF(G24&lt;=30,"Orta (16-30)","Köhnə (30+)")))</f>
        <v>Orta-yeni (6-15)</v>
      </c>
      <c r="AB24" s="4" t="n">
        <f aca="false">ROUND((Q24*12)/P24*100,2)</f>
        <v>6.67</v>
      </c>
      <c r="AC24" s="4" t="n">
        <f aca="false">Q24-R24</f>
        <v>950</v>
      </c>
    </row>
    <row r="25" customFormat="false" ht="14.25" hidden="false" customHeight="false" outlineLevel="0" collapsed="false">
      <c r="A25" s="3" t="s">
        <v>105</v>
      </c>
      <c r="B25" s="3" t="s">
        <v>106</v>
      </c>
      <c r="C25" s="3" t="s">
        <v>51</v>
      </c>
      <c r="D25" s="3" t="n">
        <v>4</v>
      </c>
      <c r="E25" s="3" t="s">
        <v>52</v>
      </c>
      <c r="F25" s="3" t="n">
        <v>1980</v>
      </c>
      <c r="G25" s="3" t="n">
        <v>45</v>
      </c>
      <c r="H25" s="3" t="n">
        <v>1</v>
      </c>
      <c r="I25" s="3" t="n">
        <v>41</v>
      </c>
      <c r="J25" s="3" t="n">
        <v>8</v>
      </c>
      <c r="K25" s="3" t="n">
        <v>9</v>
      </c>
      <c r="L25" s="3" t="s">
        <v>33</v>
      </c>
      <c r="M25" s="3" t="s">
        <v>34</v>
      </c>
      <c r="N25" s="3" t="s">
        <v>34</v>
      </c>
      <c r="O25" s="3" t="n">
        <v>658</v>
      </c>
      <c r="P25" s="3" t="n">
        <v>27000</v>
      </c>
      <c r="Q25" s="3" t="n">
        <v>130</v>
      </c>
      <c r="R25" s="3" t="n">
        <v>100</v>
      </c>
      <c r="S25" s="3" t="s">
        <v>107</v>
      </c>
      <c r="T25" s="3" t="n">
        <v>29</v>
      </c>
      <c r="U25" s="4" t="n">
        <f aca="false">YEAR(S25)</f>
        <v>2024</v>
      </c>
      <c r="V25" s="4" t="n">
        <f aca="false">MONTH(S25)</f>
        <v>6</v>
      </c>
      <c r="W25" s="4" t="n">
        <f aca="false">ROUNDUP(MONTH(S25)/3,0)</f>
        <v>2</v>
      </c>
      <c r="X25" s="4" t="str">
        <f aca="false">IF(D25&lt;=10,"Yaxın (&lt;=10 dəq)",IF(D25&lt;=20,"Orta (11-20 dəq)","Uzaq (20+ dəq)"))</f>
        <v>Yaxın (&lt;=10 dəq)</v>
      </c>
      <c r="Y25" s="4" t="str">
        <f aca="false">IF(I25&lt;60,"Kiçik (&lt;60 m²)",IF(I25&lt;90,"Orta (60-90 m²)",IF(I25&lt;120,"Böyük (90-120 m²)","Çox böyük (120+ m²)")))</f>
        <v>Kiçik (&lt;60 m²)</v>
      </c>
      <c r="Z25" s="4" t="str">
        <f aca="false">IF(P25&lt;70000,"Ekonom (&lt;70K)",IF(P25&lt;120000,"Orta (70-120K)",IF(P25&lt;200000,"Yüksək (120-200K)","Premium (200K+)")))</f>
        <v>Ekonom (&lt;70K)</v>
      </c>
      <c r="AA25" s="4" t="str">
        <f aca="false">IF(G25&lt;=5,"Yeni (0-5)",IF(G25&lt;=15,"Orta-yeni (6-15)",IF(G25&lt;=30,"Orta (16-30)","Köhnə (30+)")))</f>
        <v>Köhnə (30+)</v>
      </c>
      <c r="AB25" s="4" t="n">
        <f aca="false">ROUND((Q25*12)/P25*100,2)</f>
        <v>5.78</v>
      </c>
      <c r="AC25" s="4" t="n">
        <f aca="false">Q25-R25</f>
        <v>30</v>
      </c>
    </row>
    <row r="26" customFormat="false" ht="14.25" hidden="false" customHeight="false" outlineLevel="0" collapsed="false">
      <c r="A26" s="3" t="s">
        <v>108</v>
      </c>
      <c r="B26" s="3" t="s">
        <v>64</v>
      </c>
      <c r="C26" s="3" t="s">
        <v>65</v>
      </c>
      <c r="D26" s="3" t="n">
        <v>32</v>
      </c>
      <c r="E26" s="3" t="s">
        <v>32</v>
      </c>
      <c r="F26" s="3" t="n">
        <v>2011</v>
      </c>
      <c r="G26" s="3" t="n">
        <v>14</v>
      </c>
      <c r="H26" s="3" t="n">
        <v>2</v>
      </c>
      <c r="I26" s="3" t="n">
        <v>76.4</v>
      </c>
      <c r="J26" s="3" t="n">
        <v>4</v>
      </c>
      <c r="K26" s="3" t="n">
        <v>9</v>
      </c>
      <c r="L26" s="3" t="s">
        <v>73</v>
      </c>
      <c r="M26" s="3" t="s">
        <v>39</v>
      </c>
      <c r="N26" s="3" t="s">
        <v>34</v>
      </c>
      <c r="O26" s="3" t="n">
        <v>2413</v>
      </c>
      <c r="P26" s="3" t="n">
        <v>184400</v>
      </c>
      <c r="Q26" s="3" t="n">
        <v>950</v>
      </c>
      <c r="R26" s="3" t="n">
        <v>125</v>
      </c>
      <c r="S26" s="3" t="s">
        <v>109</v>
      </c>
      <c r="T26" s="3" t="n">
        <v>109</v>
      </c>
      <c r="U26" s="4" t="n">
        <f aca="false">YEAR(S26)</f>
        <v>2024</v>
      </c>
      <c r="V26" s="4" t="n">
        <f aca="false">MONTH(S26)</f>
        <v>3</v>
      </c>
      <c r="W26" s="4" t="n">
        <f aca="false">ROUNDUP(MONTH(S26)/3,0)</f>
        <v>1</v>
      </c>
      <c r="X26" s="4" t="str">
        <f aca="false">IF(D26&lt;=10,"Yaxın (&lt;=10 dəq)",IF(D26&lt;=20,"Orta (11-20 dəq)","Uzaq (20+ dəq)"))</f>
        <v>Uzaq (20+ dəq)</v>
      </c>
      <c r="Y26" s="4" t="str">
        <f aca="false">IF(I26&lt;60,"Kiçik (&lt;60 m²)",IF(I26&lt;90,"Orta (60-90 m²)",IF(I26&lt;120,"Böyük (90-120 m²)","Çox böyük (120+ m²)")))</f>
        <v>Orta (60-90 m²)</v>
      </c>
      <c r="Z26" s="4" t="str">
        <f aca="false">IF(P26&lt;70000,"Ekonom (&lt;70K)",IF(P26&lt;120000,"Orta (70-120K)",IF(P26&lt;200000,"Yüksək (120-200K)","Premium (200K+)")))</f>
        <v>Yüksək (120-200K)</v>
      </c>
      <c r="AA26" s="4" t="str">
        <f aca="false">IF(G26&lt;=5,"Yeni (0-5)",IF(G26&lt;=15,"Orta-yeni (6-15)",IF(G26&lt;=30,"Orta (16-30)","Köhnə (30+)")))</f>
        <v>Orta-yeni (6-15)</v>
      </c>
      <c r="AB26" s="4" t="n">
        <f aca="false">ROUND((Q26*12)/P26*100,2)</f>
        <v>6.18</v>
      </c>
      <c r="AC26" s="4" t="n">
        <f aca="false">Q26-R26</f>
        <v>825</v>
      </c>
    </row>
    <row r="27" customFormat="false" ht="14.25" hidden="false" customHeight="false" outlineLevel="0" collapsed="false">
      <c r="A27" s="3" t="s">
        <v>110</v>
      </c>
      <c r="B27" s="3" t="s">
        <v>111</v>
      </c>
      <c r="C27" s="3" t="s">
        <v>42</v>
      </c>
      <c r="D27" s="3" t="n">
        <v>14</v>
      </c>
      <c r="E27" s="3" t="s">
        <v>32</v>
      </c>
      <c r="F27" s="3" t="n">
        <v>2015</v>
      </c>
      <c r="G27" s="3" t="n">
        <v>10</v>
      </c>
      <c r="H27" s="3" t="n">
        <v>3</v>
      </c>
      <c r="I27" s="3" t="n">
        <v>95.8</v>
      </c>
      <c r="J27" s="3" t="n">
        <v>13</v>
      </c>
      <c r="K27" s="3" t="n">
        <v>16</v>
      </c>
      <c r="L27" s="3" t="s">
        <v>53</v>
      </c>
      <c r="M27" s="3" t="s">
        <v>34</v>
      </c>
      <c r="N27" s="3" t="s">
        <v>34</v>
      </c>
      <c r="O27" s="3" t="n">
        <v>1365</v>
      </c>
      <c r="P27" s="3" t="n">
        <v>130800</v>
      </c>
      <c r="Q27" s="3" t="n">
        <v>720</v>
      </c>
      <c r="R27" s="3" t="n">
        <v>160</v>
      </c>
      <c r="S27" s="3" t="s">
        <v>112</v>
      </c>
      <c r="T27" s="3" t="n">
        <v>127</v>
      </c>
      <c r="U27" s="4" t="n">
        <f aca="false">YEAR(S27)</f>
        <v>2025</v>
      </c>
      <c r="V27" s="4" t="n">
        <f aca="false">MONTH(S27)</f>
        <v>2</v>
      </c>
      <c r="W27" s="4" t="n">
        <f aca="false">ROUNDUP(MONTH(S27)/3,0)</f>
        <v>1</v>
      </c>
      <c r="X27" s="4" t="str">
        <f aca="false">IF(D27&lt;=10,"Yaxın (&lt;=10 dəq)",IF(D27&lt;=20,"Orta (11-20 dəq)","Uzaq (20+ dəq)"))</f>
        <v>Orta (11-20 dəq)</v>
      </c>
      <c r="Y27" s="4" t="str">
        <f aca="false">IF(I27&lt;60,"Kiçik (&lt;60 m²)",IF(I27&lt;90,"Orta (60-90 m²)",IF(I27&lt;120,"Böyük (90-120 m²)","Çox böyük (120+ m²)")))</f>
        <v>Böyük (90-120 m²)</v>
      </c>
      <c r="Z27" s="4" t="str">
        <f aca="false">IF(P27&lt;70000,"Ekonom (&lt;70K)",IF(P27&lt;120000,"Orta (70-120K)",IF(P27&lt;200000,"Yüksək (120-200K)","Premium (200K+)")))</f>
        <v>Yüksək (120-200K)</v>
      </c>
      <c r="AA27" s="4" t="str">
        <f aca="false">IF(G27&lt;=5,"Yeni (0-5)",IF(G27&lt;=15,"Orta-yeni (6-15)",IF(G27&lt;=30,"Orta (16-30)","Köhnə (30+)")))</f>
        <v>Orta-yeni (6-15)</v>
      </c>
      <c r="AB27" s="4" t="n">
        <f aca="false">ROUND((Q27*12)/P27*100,2)</f>
        <v>6.61</v>
      </c>
      <c r="AC27" s="4" t="n">
        <f aca="false">Q27-R27</f>
        <v>560</v>
      </c>
    </row>
    <row r="28" customFormat="false" ht="14.25" hidden="false" customHeight="false" outlineLevel="0" collapsed="false">
      <c r="A28" s="3" t="s">
        <v>113</v>
      </c>
      <c r="B28" s="3" t="s">
        <v>60</v>
      </c>
      <c r="C28" s="3" t="s">
        <v>84</v>
      </c>
      <c r="D28" s="3" t="n">
        <v>3</v>
      </c>
      <c r="E28" s="3" t="s">
        <v>52</v>
      </c>
      <c r="F28" s="3" t="n">
        <v>2003</v>
      </c>
      <c r="G28" s="3" t="n">
        <v>22</v>
      </c>
      <c r="H28" s="3" t="n">
        <v>2</v>
      </c>
      <c r="I28" s="3" t="n">
        <v>57.8</v>
      </c>
      <c r="J28" s="3" t="n">
        <v>3</v>
      </c>
      <c r="K28" s="3" t="n">
        <v>5</v>
      </c>
      <c r="L28" s="3" t="s">
        <v>73</v>
      </c>
      <c r="M28" s="3" t="s">
        <v>39</v>
      </c>
      <c r="N28" s="3" t="s">
        <v>34</v>
      </c>
      <c r="O28" s="3" t="n">
        <v>2177</v>
      </c>
      <c r="P28" s="3" t="n">
        <v>125800</v>
      </c>
      <c r="Q28" s="3" t="n">
        <v>620</v>
      </c>
      <c r="R28" s="3" t="n">
        <v>100</v>
      </c>
      <c r="S28" s="3" t="s">
        <v>114</v>
      </c>
      <c r="T28" s="3" t="n">
        <v>22</v>
      </c>
      <c r="U28" s="4" t="n">
        <f aca="false">YEAR(S28)</f>
        <v>2025</v>
      </c>
      <c r="V28" s="4" t="n">
        <f aca="false">MONTH(S28)</f>
        <v>2</v>
      </c>
      <c r="W28" s="4" t="n">
        <f aca="false">ROUNDUP(MONTH(S28)/3,0)</f>
        <v>1</v>
      </c>
      <c r="X28" s="4" t="str">
        <f aca="false">IF(D28&lt;=10,"Yaxın (&lt;=10 dəq)",IF(D28&lt;=20,"Orta (11-20 dəq)","Uzaq (20+ dəq)"))</f>
        <v>Yaxın (&lt;=10 dəq)</v>
      </c>
      <c r="Y28" s="4" t="str">
        <f aca="false">IF(I28&lt;60,"Kiçik (&lt;60 m²)",IF(I28&lt;90,"Orta (60-90 m²)",IF(I28&lt;120,"Böyük (90-120 m²)","Çox böyük (120+ m²)")))</f>
        <v>Kiçik (&lt;60 m²)</v>
      </c>
      <c r="Z28" s="4" t="str">
        <f aca="false">IF(P28&lt;70000,"Ekonom (&lt;70K)",IF(P28&lt;120000,"Orta (70-120K)",IF(P28&lt;200000,"Yüksək (120-200K)","Premium (200K+)")))</f>
        <v>Yüksək (120-200K)</v>
      </c>
      <c r="AA28" s="4" t="str">
        <f aca="false">IF(G28&lt;=5,"Yeni (0-5)",IF(G28&lt;=15,"Orta-yeni (6-15)",IF(G28&lt;=30,"Orta (16-30)","Köhnə (30+)")))</f>
        <v>Orta (16-30)</v>
      </c>
      <c r="AB28" s="4" t="n">
        <f aca="false">ROUND((Q28*12)/P28*100,2)</f>
        <v>5.91</v>
      </c>
      <c r="AC28" s="4" t="n">
        <f aca="false">Q28-R28</f>
        <v>520</v>
      </c>
    </row>
    <row r="29" customFormat="false" ht="14.25" hidden="false" customHeight="false" outlineLevel="0" collapsed="false">
      <c r="A29" s="3" t="s">
        <v>115</v>
      </c>
      <c r="B29" s="3" t="s">
        <v>111</v>
      </c>
      <c r="C29" s="3" t="s">
        <v>42</v>
      </c>
      <c r="D29" s="3" t="n">
        <v>5</v>
      </c>
      <c r="E29" s="3" t="s">
        <v>52</v>
      </c>
      <c r="F29" s="3" t="n">
        <v>1967</v>
      </c>
      <c r="G29" s="3" t="n">
        <v>58</v>
      </c>
      <c r="H29" s="3" t="n">
        <v>3</v>
      </c>
      <c r="I29" s="3" t="n">
        <v>79.5</v>
      </c>
      <c r="J29" s="3" t="n">
        <v>5</v>
      </c>
      <c r="K29" s="3" t="n">
        <v>9</v>
      </c>
      <c r="L29" s="3" t="s">
        <v>53</v>
      </c>
      <c r="M29" s="3" t="s">
        <v>39</v>
      </c>
      <c r="N29" s="3" t="s">
        <v>34</v>
      </c>
      <c r="O29" s="3" t="n">
        <v>1229</v>
      </c>
      <c r="P29" s="3" t="n">
        <v>97700</v>
      </c>
      <c r="Q29" s="3" t="n">
        <v>450</v>
      </c>
      <c r="R29" s="3" t="n">
        <v>145</v>
      </c>
      <c r="S29" s="3" t="s">
        <v>116</v>
      </c>
      <c r="T29" s="3" t="n">
        <v>50</v>
      </c>
      <c r="U29" s="4" t="n">
        <f aca="false">YEAR(S29)</f>
        <v>2024</v>
      </c>
      <c r="V29" s="4" t="n">
        <f aca="false">MONTH(S29)</f>
        <v>12</v>
      </c>
      <c r="W29" s="4" t="n">
        <f aca="false">ROUNDUP(MONTH(S29)/3,0)</f>
        <v>4</v>
      </c>
      <c r="X29" s="4" t="str">
        <f aca="false">IF(D29&lt;=10,"Yaxın (&lt;=10 dəq)",IF(D29&lt;=20,"Orta (11-20 dəq)","Uzaq (20+ dəq)"))</f>
        <v>Yaxın (&lt;=10 dəq)</v>
      </c>
      <c r="Y29" s="4" t="str">
        <f aca="false">IF(I29&lt;60,"Kiçik (&lt;60 m²)",IF(I29&lt;90,"Orta (60-90 m²)",IF(I29&lt;120,"Böyük (90-120 m²)","Çox böyük (120+ m²)")))</f>
        <v>Orta (60-90 m²)</v>
      </c>
      <c r="Z29" s="4" t="str">
        <f aca="false">IF(P29&lt;70000,"Ekonom (&lt;70K)",IF(P29&lt;120000,"Orta (70-120K)",IF(P29&lt;200000,"Yüksək (120-200K)","Premium (200K+)")))</f>
        <v>Orta (70-120K)</v>
      </c>
      <c r="AA29" s="4" t="str">
        <f aca="false">IF(G29&lt;=5,"Yeni (0-5)",IF(G29&lt;=15,"Orta-yeni (6-15)",IF(G29&lt;=30,"Orta (16-30)","Köhnə (30+)")))</f>
        <v>Köhnə (30+)</v>
      </c>
      <c r="AB29" s="4" t="n">
        <f aca="false">ROUND((Q29*12)/P29*100,2)</f>
        <v>5.53</v>
      </c>
      <c r="AC29" s="4" t="n">
        <f aca="false">Q29-R29</f>
        <v>305</v>
      </c>
    </row>
    <row r="30" customFormat="false" ht="14.25" hidden="false" customHeight="false" outlineLevel="0" collapsed="false">
      <c r="A30" s="3" t="s">
        <v>117</v>
      </c>
      <c r="B30" s="3" t="s">
        <v>60</v>
      </c>
      <c r="C30" s="3" t="s">
        <v>84</v>
      </c>
      <c r="D30" s="3" t="n">
        <v>13</v>
      </c>
      <c r="E30" s="3" t="s">
        <v>52</v>
      </c>
      <c r="F30" s="3" t="n">
        <v>1974</v>
      </c>
      <c r="G30" s="3" t="n">
        <v>51</v>
      </c>
      <c r="H30" s="3" t="n">
        <v>1</v>
      </c>
      <c r="I30" s="3" t="n">
        <v>40.4</v>
      </c>
      <c r="J30" s="3" t="n">
        <v>5</v>
      </c>
      <c r="K30" s="3" t="n">
        <v>9</v>
      </c>
      <c r="L30" s="3" t="s">
        <v>43</v>
      </c>
      <c r="M30" s="3" t="s">
        <v>34</v>
      </c>
      <c r="N30" s="3" t="s">
        <v>39</v>
      </c>
      <c r="O30" s="3" t="n">
        <v>1673</v>
      </c>
      <c r="P30" s="3" t="n">
        <v>67600</v>
      </c>
      <c r="Q30" s="3" t="n">
        <v>340</v>
      </c>
      <c r="R30" s="3" t="n">
        <v>85</v>
      </c>
      <c r="S30" s="3" t="s">
        <v>118</v>
      </c>
      <c r="T30" s="3" t="n">
        <v>34</v>
      </c>
      <c r="U30" s="4" t="n">
        <f aca="false">YEAR(S30)</f>
        <v>2024</v>
      </c>
      <c r="V30" s="4" t="n">
        <f aca="false">MONTH(S30)</f>
        <v>5</v>
      </c>
      <c r="W30" s="4" t="n">
        <f aca="false">ROUNDUP(MONTH(S30)/3,0)</f>
        <v>2</v>
      </c>
      <c r="X30" s="4" t="str">
        <f aca="false">IF(D30&lt;=10,"Yaxın (&lt;=10 dəq)",IF(D30&lt;=20,"Orta (11-20 dəq)","Uzaq (20+ dəq)"))</f>
        <v>Orta (11-20 dəq)</v>
      </c>
      <c r="Y30" s="4" t="str">
        <f aca="false">IF(I30&lt;60,"Kiçik (&lt;60 m²)",IF(I30&lt;90,"Orta (60-90 m²)",IF(I30&lt;120,"Böyük (90-120 m²)","Çox böyük (120+ m²)")))</f>
        <v>Kiçik (&lt;60 m²)</v>
      </c>
      <c r="Z30" s="4" t="str">
        <f aca="false">IF(P30&lt;70000,"Ekonom (&lt;70K)",IF(P30&lt;120000,"Orta (70-120K)",IF(P30&lt;200000,"Yüksək (120-200K)","Premium (200K+)")))</f>
        <v>Ekonom (&lt;70K)</v>
      </c>
      <c r="AA30" s="4" t="str">
        <f aca="false">IF(G30&lt;=5,"Yeni (0-5)",IF(G30&lt;=15,"Orta-yeni (6-15)",IF(G30&lt;=30,"Orta (16-30)","Köhnə (30+)")))</f>
        <v>Köhnə (30+)</v>
      </c>
      <c r="AB30" s="4" t="n">
        <f aca="false">ROUND((Q30*12)/P30*100,2)</f>
        <v>6.04</v>
      </c>
      <c r="AC30" s="4" t="n">
        <f aca="false">Q30-R30</f>
        <v>255</v>
      </c>
    </row>
    <row r="31" customFormat="false" ht="14.25" hidden="false" customHeight="false" outlineLevel="0" collapsed="false">
      <c r="A31" s="3" t="s">
        <v>119</v>
      </c>
      <c r="B31" s="3" t="s">
        <v>50</v>
      </c>
      <c r="C31" s="3" t="s">
        <v>120</v>
      </c>
      <c r="D31" s="3" t="n">
        <v>3</v>
      </c>
      <c r="E31" s="3" t="s">
        <v>52</v>
      </c>
      <c r="F31" s="3" t="n">
        <v>1997</v>
      </c>
      <c r="G31" s="3" t="n">
        <v>28</v>
      </c>
      <c r="H31" s="3" t="n">
        <v>2</v>
      </c>
      <c r="I31" s="3" t="n">
        <v>81.5</v>
      </c>
      <c r="J31" s="3" t="n">
        <v>1</v>
      </c>
      <c r="K31" s="3" t="n">
        <v>9</v>
      </c>
      <c r="L31" s="3" t="s">
        <v>33</v>
      </c>
      <c r="M31" s="3" t="s">
        <v>39</v>
      </c>
      <c r="N31" s="3" t="s">
        <v>39</v>
      </c>
      <c r="O31" s="3" t="n">
        <v>744</v>
      </c>
      <c r="P31" s="3" t="n">
        <v>60600</v>
      </c>
      <c r="Q31" s="3" t="n">
        <v>300</v>
      </c>
      <c r="R31" s="3" t="n">
        <v>145</v>
      </c>
      <c r="S31" s="3" t="s">
        <v>121</v>
      </c>
      <c r="T31" s="3" t="n">
        <v>38</v>
      </c>
      <c r="U31" s="4" t="n">
        <f aca="false">YEAR(S31)</f>
        <v>2025</v>
      </c>
      <c r="V31" s="4" t="n">
        <f aca="false">MONTH(S31)</f>
        <v>1</v>
      </c>
      <c r="W31" s="4" t="n">
        <f aca="false">ROUNDUP(MONTH(S31)/3,0)</f>
        <v>1</v>
      </c>
      <c r="X31" s="4" t="str">
        <f aca="false">IF(D31&lt;=10,"Yaxın (&lt;=10 dəq)",IF(D31&lt;=20,"Orta (11-20 dəq)","Uzaq (20+ dəq)"))</f>
        <v>Yaxın (&lt;=10 dəq)</v>
      </c>
      <c r="Y31" s="4" t="str">
        <f aca="false">IF(I31&lt;60,"Kiçik (&lt;60 m²)",IF(I31&lt;90,"Orta (60-90 m²)",IF(I31&lt;120,"Böyük (90-120 m²)","Çox böyük (120+ m²)")))</f>
        <v>Orta (60-90 m²)</v>
      </c>
      <c r="Z31" s="4" t="str">
        <f aca="false">IF(P31&lt;70000,"Ekonom (&lt;70K)",IF(P31&lt;120000,"Orta (70-120K)",IF(P31&lt;200000,"Yüksək (120-200K)","Premium (200K+)")))</f>
        <v>Ekonom (&lt;70K)</v>
      </c>
      <c r="AA31" s="4" t="str">
        <f aca="false">IF(G31&lt;=5,"Yeni (0-5)",IF(G31&lt;=15,"Orta-yeni (6-15)",IF(G31&lt;=30,"Orta (16-30)","Köhnə (30+)")))</f>
        <v>Orta (16-30)</v>
      </c>
      <c r="AB31" s="4" t="n">
        <f aca="false">ROUND((Q31*12)/P31*100,2)</f>
        <v>5.94</v>
      </c>
      <c r="AC31" s="4" t="n">
        <f aca="false">Q31-R31</f>
        <v>155</v>
      </c>
    </row>
    <row r="32" customFormat="false" ht="14.25" hidden="false" customHeight="false" outlineLevel="0" collapsed="false">
      <c r="A32" s="3" t="s">
        <v>122</v>
      </c>
      <c r="B32" s="3" t="s">
        <v>98</v>
      </c>
      <c r="C32" s="3" t="s">
        <v>47</v>
      </c>
      <c r="D32" s="3" t="n">
        <v>10</v>
      </c>
      <c r="E32" s="3" t="s">
        <v>32</v>
      </c>
      <c r="F32" s="3" t="n">
        <v>2021</v>
      </c>
      <c r="G32" s="3" t="n">
        <v>4</v>
      </c>
      <c r="H32" s="3" t="n">
        <v>2</v>
      </c>
      <c r="I32" s="3" t="n">
        <v>59.8</v>
      </c>
      <c r="J32" s="3" t="n">
        <v>5</v>
      </c>
      <c r="K32" s="3" t="n">
        <v>16</v>
      </c>
      <c r="L32" s="3" t="s">
        <v>53</v>
      </c>
      <c r="M32" s="3" t="s">
        <v>39</v>
      </c>
      <c r="N32" s="3" t="s">
        <v>39</v>
      </c>
      <c r="O32" s="3" t="n">
        <v>2180</v>
      </c>
      <c r="P32" s="3" t="n">
        <v>130400</v>
      </c>
      <c r="Q32" s="3" t="n">
        <v>630</v>
      </c>
      <c r="R32" s="3" t="n">
        <v>105</v>
      </c>
      <c r="S32" s="3" t="s">
        <v>123</v>
      </c>
      <c r="T32" s="3" t="n">
        <v>65</v>
      </c>
      <c r="U32" s="4" t="n">
        <f aca="false">YEAR(S32)</f>
        <v>2024</v>
      </c>
      <c r="V32" s="4" t="n">
        <f aca="false">MONTH(S32)</f>
        <v>7</v>
      </c>
      <c r="W32" s="4" t="n">
        <f aca="false">ROUNDUP(MONTH(S32)/3,0)</f>
        <v>3</v>
      </c>
      <c r="X32" s="4" t="str">
        <f aca="false">IF(D32&lt;=10,"Yaxın (&lt;=10 dəq)",IF(D32&lt;=20,"Orta (11-20 dəq)","Uzaq (20+ dəq)"))</f>
        <v>Yaxın (&lt;=10 dəq)</v>
      </c>
      <c r="Y32" s="4" t="str">
        <f aca="false">IF(I32&lt;60,"Kiçik (&lt;60 m²)",IF(I32&lt;90,"Orta (60-90 m²)",IF(I32&lt;120,"Böyük (90-120 m²)","Çox böyük (120+ m²)")))</f>
        <v>Kiçik (&lt;60 m²)</v>
      </c>
      <c r="Z32" s="4" t="str">
        <f aca="false">IF(P32&lt;70000,"Ekonom (&lt;70K)",IF(P32&lt;120000,"Orta (70-120K)",IF(P32&lt;200000,"Yüksək (120-200K)","Premium (200K+)")))</f>
        <v>Yüksək (120-200K)</v>
      </c>
      <c r="AA32" s="4" t="str">
        <f aca="false">IF(G32&lt;=5,"Yeni (0-5)",IF(G32&lt;=15,"Orta-yeni (6-15)",IF(G32&lt;=30,"Orta (16-30)","Köhnə (30+)")))</f>
        <v>Yeni (0-5)</v>
      </c>
      <c r="AB32" s="4" t="n">
        <f aca="false">ROUND((Q32*12)/P32*100,2)</f>
        <v>5.8</v>
      </c>
      <c r="AC32" s="4" t="n">
        <f aca="false">Q32-R32</f>
        <v>525</v>
      </c>
    </row>
    <row r="33" customFormat="false" ht="14.25" hidden="false" customHeight="false" outlineLevel="0" collapsed="false">
      <c r="A33" s="3" t="s">
        <v>124</v>
      </c>
      <c r="B33" s="3" t="s">
        <v>64</v>
      </c>
      <c r="C33" s="3" t="s">
        <v>65</v>
      </c>
      <c r="D33" s="3" t="n">
        <v>24</v>
      </c>
      <c r="E33" s="3" t="s">
        <v>32</v>
      </c>
      <c r="F33" s="3" t="n">
        <v>2015</v>
      </c>
      <c r="G33" s="3" t="n">
        <v>10</v>
      </c>
      <c r="H33" s="3" t="n">
        <v>4</v>
      </c>
      <c r="I33" s="3" t="n">
        <v>108.9</v>
      </c>
      <c r="J33" s="3" t="n">
        <v>2</v>
      </c>
      <c r="K33" s="3" t="n">
        <v>12</v>
      </c>
      <c r="L33" s="3" t="s">
        <v>73</v>
      </c>
      <c r="M33" s="3" t="s">
        <v>39</v>
      </c>
      <c r="N33" s="3" t="s">
        <v>39</v>
      </c>
      <c r="O33" s="3" t="n">
        <v>2400</v>
      </c>
      <c r="P33" s="3" t="n">
        <v>261400</v>
      </c>
      <c r="Q33" s="3" t="n">
        <v>1250</v>
      </c>
      <c r="R33" s="3" t="n">
        <v>165</v>
      </c>
      <c r="S33" s="3" t="s">
        <v>125</v>
      </c>
      <c r="T33" s="3" t="n">
        <v>66</v>
      </c>
      <c r="U33" s="4" t="n">
        <f aca="false">YEAR(S33)</f>
        <v>2024</v>
      </c>
      <c r="V33" s="4" t="n">
        <f aca="false">MONTH(S33)</f>
        <v>5</v>
      </c>
      <c r="W33" s="4" t="n">
        <f aca="false">ROUNDUP(MONTH(S33)/3,0)</f>
        <v>2</v>
      </c>
      <c r="X33" s="4" t="str">
        <f aca="false">IF(D33&lt;=10,"Yaxın (&lt;=10 dəq)",IF(D33&lt;=20,"Orta (11-20 dəq)","Uzaq (20+ dəq)"))</f>
        <v>Uzaq (20+ dəq)</v>
      </c>
      <c r="Y33" s="4" t="str">
        <f aca="false">IF(I33&lt;60,"Kiçik (&lt;60 m²)",IF(I33&lt;90,"Orta (60-90 m²)",IF(I33&lt;120,"Böyük (90-120 m²)","Çox böyük (120+ m²)")))</f>
        <v>Böyük (90-120 m²)</v>
      </c>
      <c r="Z33" s="4" t="str">
        <f aca="false">IF(P33&lt;70000,"Ekonom (&lt;70K)",IF(P33&lt;120000,"Orta (70-120K)",IF(P33&lt;200000,"Yüksək (120-200K)","Premium (200K+)")))</f>
        <v>Premium (200K+)</v>
      </c>
      <c r="AA33" s="4" t="str">
        <f aca="false">IF(G33&lt;=5,"Yeni (0-5)",IF(G33&lt;=15,"Orta-yeni (6-15)",IF(G33&lt;=30,"Orta (16-30)","Köhnə (30+)")))</f>
        <v>Orta-yeni (6-15)</v>
      </c>
      <c r="AB33" s="4" t="n">
        <f aca="false">ROUND((Q33*12)/P33*100,2)</f>
        <v>5.74</v>
      </c>
      <c r="AC33" s="4" t="n">
        <f aca="false">Q33-R33</f>
        <v>1085</v>
      </c>
    </row>
    <row r="34" customFormat="false" ht="14.25" hidden="false" customHeight="false" outlineLevel="0" collapsed="false">
      <c r="A34" s="3" t="s">
        <v>126</v>
      </c>
      <c r="B34" s="3" t="s">
        <v>60</v>
      </c>
      <c r="C34" s="3" t="s">
        <v>84</v>
      </c>
      <c r="D34" s="3" t="n">
        <v>17</v>
      </c>
      <c r="E34" s="3" t="s">
        <v>32</v>
      </c>
      <c r="F34" s="3" t="n">
        <v>2009</v>
      </c>
      <c r="G34" s="3" t="n">
        <v>16</v>
      </c>
      <c r="H34" s="3" t="n">
        <v>2</v>
      </c>
      <c r="I34" s="3" t="n">
        <v>63.6</v>
      </c>
      <c r="J34" s="3" t="n">
        <v>12</v>
      </c>
      <c r="K34" s="3" t="n">
        <v>24</v>
      </c>
      <c r="L34" s="3" t="s">
        <v>43</v>
      </c>
      <c r="M34" s="3" t="s">
        <v>39</v>
      </c>
      <c r="N34" s="3" t="s">
        <v>39</v>
      </c>
      <c r="O34" s="3" t="n">
        <v>2228</v>
      </c>
      <c r="P34" s="3" t="n">
        <v>141700</v>
      </c>
      <c r="Q34" s="3" t="n">
        <v>810</v>
      </c>
      <c r="R34" s="3" t="n">
        <v>125</v>
      </c>
      <c r="S34" s="3" t="s">
        <v>127</v>
      </c>
      <c r="T34" s="3" t="n">
        <v>82</v>
      </c>
      <c r="U34" s="4" t="n">
        <f aca="false">YEAR(S34)</f>
        <v>2024</v>
      </c>
      <c r="V34" s="4" t="n">
        <f aca="false">MONTH(S34)</f>
        <v>7</v>
      </c>
      <c r="W34" s="4" t="n">
        <f aca="false">ROUNDUP(MONTH(S34)/3,0)</f>
        <v>3</v>
      </c>
      <c r="X34" s="4" t="str">
        <f aca="false">IF(D34&lt;=10,"Yaxın (&lt;=10 dəq)",IF(D34&lt;=20,"Orta (11-20 dəq)","Uzaq (20+ dəq)"))</f>
        <v>Orta (11-20 dəq)</v>
      </c>
      <c r="Y34" s="4" t="str">
        <f aca="false">IF(I34&lt;60,"Kiçik (&lt;60 m²)",IF(I34&lt;90,"Orta (60-90 m²)",IF(I34&lt;120,"Böyük (90-120 m²)","Çox böyük (120+ m²)")))</f>
        <v>Orta (60-90 m²)</v>
      </c>
      <c r="Z34" s="4" t="str">
        <f aca="false">IF(P34&lt;70000,"Ekonom (&lt;70K)",IF(P34&lt;120000,"Orta (70-120K)",IF(P34&lt;200000,"Yüksək (120-200K)","Premium (200K+)")))</f>
        <v>Yüksək (120-200K)</v>
      </c>
      <c r="AA34" s="4" t="str">
        <f aca="false">IF(G34&lt;=5,"Yeni (0-5)",IF(G34&lt;=15,"Orta-yeni (6-15)",IF(G34&lt;=30,"Orta (16-30)","Köhnə (30+)")))</f>
        <v>Orta (16-30)</v>
      </c>
      <c r="AB34" s="4" t="n">
        <f aca="false">ROUND((Q34*12)/P34*100,2)</f>
        <v>6.86</v>
      </c>
      <c r="AC34" s="4" t="n">
        <f aca="false">Q34-R34</f>
        <v>685</v>
      </c>
    </row>
    <row r="35" customFormat="false" ht="14.25" hidden="false" customHeight="false" outlineLevel="0" collapsed="false">
      <c r="A35" s="3" t="s">
        <v>128</v>
      </c>
      <c r="B35" s="3" t="s">
        <v>37</v>
      </c>
      <c r="C35" s="3" t="s">
        <v>42</v>
      </c>
      <c r="D35" s="3" t="n">
        <v>10</v>
      </c>
      <c r="E35" s="3" t="s">
        <v>52</v>
      </c>
      <c r="F35" s="3" t="n">
        <v>1980</v>
      </c>
      <c r="G35" s="3" t="n">
        <v>45</v>
      </c>
      <c r="H35" s="3" t="n">
        <v>2</v>
      </c>
      <c r="I35" s="3" t="n">
        <v>79.8</v>
      </c>
      <c r="J35" s="3" t="n">
        <v>2</v>
      </c>
      <c r="K35" s="3" t="n">
        <v>5</v>
      </c>
      <c r="L35" s="3" t="s">
        <v>43</v>
      </c>
      <c r="M35" s="3" t="s">
        <v>39</v>
      </c>
      <c r="N35" s="3" t="s">
        <v>39</v>
      </c>
      <c r="O35" s="3" t="n">
        <v>832</v>
      </c>
      <c r="P35" s="3" t="n">
        <v>66400</v>
      </c>
      <c r="Q35" s="3" t="n">
        <v>310</v>
      </c>
      <c r="R35" s="3" t="n">
        <v>135</v>
      </c>
      <c r="S35" s="3" t="s">
        <v>101</v>
      </c>
      <c r="T35" s="3" t="n">
        <v>12</v>
      </c>
      <c r="U35" s="4" t="n">
        <f aca="false">YEAR(S35)</f>
        <v>2024</v>
      </c>
      <c r="V35" s="4" t="n">
        <f aca="false">MONTH(S35)</f>
        <v>7</v>
      </c>
      <c r="W35" s="4" t="n">
        <f aca="false">ROUNDUP(MONTH(S35)/3,0)</f>
        <v>3</v>
      </c>
      <c r="X35" s="4" t="str">
        <f aca="false">IF(D35&lt;=10,"Yaxın (&lt;=10 dəq)",IF(D35&lt;=20,"Orta (11-20 dəq)","Uzaq (20+ dəq)"))</f>
        <v>Yaxın (&lt;=10 dəq)</v>
      </c>
      <c r="Y35" s="4" t="str">
        <f aca="false">IF(I35&lt;60,"Kiçik (&lt;60 m²)",IF(I35&lt;90,"Orta (60-90 m²)",IF(I35&lt;120,"Böyük (90-120 m²)","Çox böyük (120+ m²)")))</f>
        <v>Orta (60-90 m²)</v>
      </c>
      <c r="Z35" s="4" t="str">
        <f aca="false">IF(P35&lt;70000,"Ekonom (&lt;70K)",IF(P35&lt;120000,"Orta (70-120K)",IF(P35&lt;200000,"Yüksək (120-200K)","Premium (200K+)")))</f>
        <v>Ekonom (&lt;70K)</v>
      </c>
      <c r="AA35" s="4" t="str">
        <f aca="false">IF(G35&lt;=5,"Yeni (0-5)",IF(G35&lt;=15,"Orta-yeni (6-15)",IF(G35&lt;=30,"Orta (16-30)","Köhnə (30+)")))</f>
        <v>Köhnə (30+)</v>
      </c>
      <c r="AB35" s="4" t="n">
        <f aca="false">ROUND((Q35*12)/P35*100,2)</f>
        <v>5.6</v>
      </c>
      <c r="AC35" s="4" t="n">
        <f aca="false">Q35-R35</f>
        <v>175</v>
      </c>
    </row>
    <row r="36" customFormat="false" ht="14.25" hidden="false" customHeight="false" outlineLevel="0" collapsed="false">
      <c r="A36" s="3" t="s">
        <v>129</v>
      </c>
      <c r="B36" s="3" t="s">
        <v>71</v>
      </c>
      <c r="C36" s="3" t="s">
        <v>72</v>
      </c>
      <c r="D36" s="3" t="n">
        <v>3</v>
      </c>
      <c r="E36" s="3" t="s">
        <v>32</v>
      </c>
      <c r="F36" s="3" t="n">
        <v>2011</v>
      </c>
      <c r="G36" s="3" t="n">
        <v>14</v>
      </c>
      <c r="H36" s="3" t="n">
        <v>2</v>
      </c>
      <c r="I36" s="3" t="n">
        <v>77.3</v>
      </c>
      <c r="J36" s="3" t="n">
        <v>9</v>
      </c>
      <c r="K36" s="3" t="n">
        <v>24</v>
      </c>
      <c r="L36" s="3" t="s">
        <v>53</v>
      </c>
      <c r="M36" s="3" t="s">
        <v>34</v>
      </c>
      <c r="N36" s="3" t="s">
        <v>34</v>
      </c>
      <c r="O36" s="3" t="n">
        <v>2168</v>
      </c>
      <c r="P36" s="3" t="n">
        <v>167600</v>
      </c>
      <c r="Q36" s="3" t="n">
        <v>910</v>
      </c>
      <c r="R36" s="3" t="n">
        <v>125</v>
      </c>
      <c r="S36" s="3" t="s">
        <v>130</v>
      </c>
      <c r="T36" s="3" t="n">
        <v>72</v>
      </c>
      <c r="U36" s="4" t="n">
        <f aca="false">YEAR(S36)</f>
        <v>2024</v>
      </c>
      <c r="V36" s="4" t="n">
        <f aca="false">MONTH(S36)</f>
        <v>5</v>
      </c>
      <c r="W36" s="4" t="n">
        <f aca="false">ROUNDUP(MONTH(S36)/3,0)</f>
        <v>2</v>
      </c>
      <c r="X36" s="4" t="str">
        <f aca="false">IF(D36&lt;=10,"Yaxın (&lt;=10 dəq)",IF(D36&lt;=20,"Orta (11-20 dəq)","Uzaq (20+ dəq)"))</f>
        <v>Yaxın (&lt;=10 dəq)</v>
      </c>
      <c r="Y36" s="4" t="str">
        <f aca="false">IF(I36&lt;60,"Kiçik (&lt;60 m²)",IF(I36&lt;90,"Orta (60-90 m²)",IF(I36&lt;120,"Böyük (90-120 m²)","Çox böyük (120+ m²)")))</f>
        <v>Orta (60-90 m²)</v>
      </c>
      <c r="Z36" s="4" t="str">
        <f aca="false">IF(P36&lt;70000,"Ekonom (&lt;70K)",IF(P36&lt;120000,"Orta (70-120K)",IF(P36&lt;200000,"Yüksək (120-200K)","Premium (200K+)")))</f>
        <v>Yüksək (120-200K)</v>
      </c>
      <c r="AA36" s="4" t="str">
        <f aca="false">IF(G36&lt;=5,"Yeni (0-5)",IF(G36&lt;=15,"Orta-yeni (6-15)",IF(G36&lt;=30,"Orta (16-30)","Köhnə (30+)")))</f>
        <v>Orta-yeni (6-15)</v>
      </c>
      <c r="AB36" s="4" t="n">
        <f aca="false">ROUND((Q36*12)/P36*100,2)</f>
        <v>6.52</v>
      </c>
      <c r="AC36" s="4" t="n">
        <f aca="false">Q36-R36</f>
        <v>785</v>
      </c>
    </row>
    <row r="37" customFormat="false" ht="14.25" hidden="false" customHeight="false" outlineLevel="0" collapsed="false">
      <c r="A37" s="3" t="s">
        <v>131</v>
      </c>
      <c r="B37" s="3" t="s">
        <v>98</v>
      </c>
      <c r="C37" s="3" t="s">
        <v>103</v>
      </c>
      <c r="D37" s="3" t="n">
        <v>24</v>
      </c>
      <c r="E37" s="3" t="s">
        <v>32</v>
      </c>
      <c r="F37" s="3" t="n">
        <v>2005</v>
      </c>
      <c r="G37" s="3" t="n">
        <v>20</v>
      </c>
      <c r="H37" s="3" t="n">
        <v>3</v>
      </c>
      <c r="I37" s="3" t="n">
        <v>92.7</v>
      </c>
      <c r="J37" s="3" t="n">
        <v>18</v>
      </c>
      <c r="K37" s="3" t="n">
        <v>20</v>
      </c>
      <c r="L37" s="3" t="s">
        <v>43</v>
      </c>
      <c r="M37" s="3" t="s">
        <v>34</v>
      </c>
      <c r="N37" s="3" t="s">
        <v>34</v>
      </c>
      <c r="O37" s="3" t="n">
        <v>1701</v>
      </c>
      <c r="P37" s="3" t="n">
        <v>157700</v>
      </c>
      <c r="Q37" s="3" t="n">
        <v>850</v>
      </c>
      <c r="R37" s="3" t="n">
        <v>150</v>
      </c>
      <c r="S37" s="3" t="s">
        <v>132</v>
      </c>
      <c r="T37" s="3" t="n">
        <v>76</v>
      </c>
      <c r="U37" s="4" t="n">
        <f aca="false">YEAR(S37)</f>
        <v>2024</v>
      </c>
      <c r="V37" s="4" t="n">
        <f aca="false">MONTH(S37)</f>
        <v>7</v>
      </c>
      <c r="W37" s="4" t="n">
        <f aca="false">ROUNDUP(MONTH(S37)/3,0)</f>
        <v>3</v>
      </c>
      <c r="X37" s="4" t="str">
        <f aca="false">IF(D37&lt;=10,"Yaxın (&lt;=10 dəq)",IF(D37&lt;=20,"Orta (11-20 dəq)","Uzaq (20+ dəq)"))</f>
        <v>Uzaq (20+ dəq)</v>
      </c>
      <c r="Y37" s="4" t="str">
        <f aca="false">IF(I37&lt;60,"Kiçik (&lt;60 m²)",IF(I37&lt;90,"Orta (60-90 m²)",IF(I37&lt;120,"Böyük (90-120 m²)","Çox böyük (120+ m²)")))</f>
        <v>Böyük (90-120 m²)</v>
      </c>
      <c r="Z37" s="4" t="str">
        <f aca="false">IF(P37&lt;70000,"Ekonom (&lt;70K)",IF(P37&lt;120000,"Orta (70-120K)",IF(P37&lt;200000,"Yüksək (120-200K)","Premium (200K+)")))</f>
        <v>Yüksək (120-200K)</v>
      </c>
      <c r="AA37" s="4" t="str">
        <f aca="false">IF(G37&lt;=5,"Yeni (0-5)",IF(G37&lt;=15,"Orta-yeni (6-15)",IF(G37&lt;=30,"Orta (16-30)","Köhnə (30+)")))</f>
        <v>Orta (16-30)</v>
      </c>
      <c r="AB37" s="4" t="n">
        <f aca="false">ROUND((Q37*12)/P37*100,2)</f>
        <v>6.47</v>
      </c>
      <c r="AC37" s="4" t="n">
        <f aca="false">Q37-R37</f>
        <v>700</v>
      </c>
    </row>
    <row r="38" customFormat="false" ht="14.25" hidden="false" customHeight="false" outlineLevel="0" collapsed="false">
      <c r="A38" s="3" t="s">
        <v>133</v>
      </c>
      <c r="B38" s="3" t="s">
        <v>106</v>
      </c>
      <c r="C38" s="3" t="s">
        <v>51</v>
      </c>
      <c r="D38" s="3" t="n">
        <v>30</v>
      </c>
      <c r="E38" s="3" t="s">
        <v>32</v>
      </c>
      <c r="F38" s="3" t="n">
        <v>2014</v>
      </c>
      <c r="G38" s="3" t="n">
        <v>11</v>
      </c>
      <c r="H38" s="3" t="n">
        <v>4</v>
      </c>
      <c r="I38" s="3" t="n">
        <v>139.8</v>
      </c>
      <c r="J38" s="3" t="n">
        <v>3</v>
      </c>
      <c r="K38" s="3" t="n">
        <v>9</v>
      </c>
      <c r="L38" s="3" t="s">
        <v>33</v>
      </c>
      <c r="M38" s="3" t="s">
        <v>34</v>
      </c>
      <c r="N38" s="3" t="s">
        <v>34</v>
      </c>
      <c r="O38" s="3" t="n">
        <v>916</v>
      </c>
      <c r="P38" s="3" t="n">
        <v>128100</v>
      </c>
      <c r="Q38" s="3" t="n">
        <v>720</v>
      </c>
      <c r="R38" s="3" t="n">
        <v>195</v>
      </c>
      <c r="S38" s="3" t="s">
        <v>134</v>
      </c>
      <c r="T38" s="3" t="n">
        <v>27</v>
      </c>
      <c r="U38" s="4" t="n">
        <f aca="false">YEAR(S38)</f>
        <v>2024</v>
      </c>
      <c r="V38" s="4" t="n">
        <f aca="false">MONTH(S38)</f>
        <v>5</v>
      </c>
      <c r="W38" s="4" t="n">
        <f aca="false">ROUNDUP(MONTH(S38)/3,0)</f>
        <v>2</v>
      </c>
      <c r="X38" s="4" t="str">
        <f aca="false">IF(D38&lt;=10,"Yaxın (&lt;=10 dəq)",IF(D38&lt;=20,"Orta (11-20 dəq)","Uzaq (20+ dəq)"))</f>
        <v>Uzaq (20+ dəq)</v>
      </c>
      <c r="Y38" s="4" t="str">
        <f aca="false">IF(I38&lt;60,"Kiçik (&lt;60 m²)",IF(I38&lt;90,"Orta (60-90 m²)",IF(I38&lt;120,"Böyük (90-120 m²)","Çox böyük (120+ m²)")))</f>
        <v>Çox böyük (120+ m²)</v>
      </c>
      <c r="Z38" s="4" t="str">
        <f aca="false">IF(P38&lt;70000,"Ekonom (&lt;70K)",IF(P38&lt;120000,"Orta (70-120K)",IF(P38&lt;200000,"Yüksək (120-200K)","Premium (200K+)")))</f>
        <v>Yüksək (120-200K)</v>
      </c>
      <c r="AA38" s="4" t="str">
        <f aca="false">IF(G38&lt;=5,"Yeni (0-5)",IF(G38&lt;=15,"Orta-yeni (6-15)",IF(G38&lt;=30,"Orta (16-30)","Köhnə (30+)")))</f>
        <v>Orta-yeni (6-15)</v>
      </c>
      <c r="AB38" s="4" t="n">
        <f aca="false">ROUND((Q38*12)/P38*100,2)</f>
        <v>6.74</v>
      </c>
      <c r="AC38" s="4" t="n">
        <f aca="false">Q38-R38</f>
        <v>525</v>
      </c>
    </row>
    <row r="39" customFormat="false" ht="14.25" hidden="false" customHeight="false" outlineLevel="0" collapsed="false">
      <c r="A39" s="3" t="s">
        <v>135</v>
      </c>
      <c r="B39" s="3" t="s">
        <v>76</v>
      </c>
      <c r="C39" s="3" t="s">
        <v>136</v>
      </c>
      <c r="D39" s="3" t="n">
        <v>8</v>
      </c>
      <c r="E39" s="3" t="s">
        <v>32</v>
      </c>
      <c r="F39" s="3" t="n">
        <v>2008</v>
      </c>
      <c r="G39" s="3" t="n">
        <v>17</v>
      </c>
      <c r="H39" s="3" t="n">
        <v>5</v>
      </c>
      <c r="I39" s="3" t="n">
        <v>170.8</v>
      </c>
      <c r="J39" s="3" t="n">
        <v>4</v>
      </c>
      <c r="K39" s="3" t="n">
        <v>20</v>
      </c>
      <c r="L39" s="3" t="s">
        <v>53</v>
      </c>
      <c r="M39" s="3" t="s">
        <v>39</v>
      </c>
      <c r="N39" s="3" t="s">
        <v>39</v>
      </c>
      <c r="O39" s="3" t="n">
        <v>1926</v>
      </c>
      <c r="P39" s="3" t="n">
        <v>329000</v>
      </c>
      <c r="Q39" s="3" t="n">
        <v>1790</v>
      </c>
      <c r="R39" s="3" t="n">
        <v>215</v>
      </c>
      <c r="S39" s="3" t="s">
        <v>137</v>
      </c>
      <c r="T39" s="3" t="n">
        <v>68</v>
      </c>
      <c r="U39" s="4" t="n">
        <f aca="false">YEAR(S39)</f>
        <v>2024</v>
      </c>
      <c r="V39" s="4" t="n">
        <f aca="false">MONTH(S39)</f>
        <v>8</v>
      </c>
      <c r="W39" s="4" t="n">
        <f aca="false">ROUNDUP(MONTH(S39)/3,0)</f>
        <v>3</v>
      </c>
      <c r="X39" s="4" t="str">
        <f aca="false">IF(D39&lt;=10,"Yaxın (&lt;=10 dəq)",IF(D39&lt;=20,"Orta (11-20 dəq)","Uzaq (20+ dəq)"))</f>
        <v>Yaxın (&lt;=10 dəq)</v>
      </c>
      <c r="Y39" s="4" t="str">
        <f aca="false">IF(I39&lt;60,"Kiçik (&lt;60 m²)",IF(I39&lt;90,"Orta (60-90 m²)",IF(I39&lt;120,"Böyük (90-120 m²)","Çox böyük (120+ m²)")))</f>
        <v>Çox böyük (120+ m²)</v>
      </c>
      <c r="Z39" s="4" t="str">
        <f aca="false">IF(P39&lt;70000,"Ekonom (&lt;70K)",IF(P39&lt;120000,"Orta (70-120K)",IF(P39&lt;200000,"Yüksək (120-200K)","Premium (200K+)")))</f>
        <v>Premium (200K+)</v>
      </c>
      <c r="AA39" s="4" t="str">
        <f aca="false">IF(G39&lt;=5,"Yeni (0-5)",IF(G39&lt;=15,"Orta-yeni (6-15)",IF(G39&lt;=30,"Orta (16-30)","Köhnə (30+)")))</f>
        <v>Orta (16-30)</v>
      </c>
      <c r="AB39" s="4" t="n">
        <f aca="false">ROUND((Q39*12)/P39*100,2)</f>
        <v>6.53</v>
      </c>
      <c r="AC39" s="4" t="n">
        <f aca="false">Q39-R39</f>
        <v>1575</v>
      </c>
    </row>
    <row r="40" customFormat="false" ht="14.25" hidden="false" customHeight="false" outlineLevel="0" collapsed="false">
      <c r="A40" s="3" t="s">
        <v>138</v>
      </c>
      <c r="B40" s="3" t="s">
        <v>64</v>
      </c>
      <c r="C40" s="3" t="s">
        <v>64</v>
      </c>
      <c r="D40" s="3" t="n">
        <v>14</v>
      </c>
      <c r="E40" s="3" t="s">
        <v>32</v>
      </c>
      <c r="F40" s="3" t="n">
        <v>2023</v>
      </c>
      <c r="G40" s="3" t="n">
        <v>2</v>
      </c>
      <c r="H40" s="3" t="n">
        <v>2</v>
      </c>
      <c r="I40" s="3" t="n">
        <v>63.5</v>
      </c>
      <c r="J40" s="3" t="n">
        <v>2</v>
      </c>
      <c r="K40" s="3" t="n">
        <v>24</v>
      </c>
      <c r="L40" s="3" t="s">
        <v>33</v>
      </c>
      <c r="M40" s="3" t="s">
        <v>39</v>
      </c>
      <c r="N40" s="3" t="s">
        <v>34</v>
      </c>
      <c r="O40" s="3" t="n">
        <v>1655</v>
      </c>
      <c r="P40" s="3" t="n">
        <v>105100</v>
      </c>
      <c r="Q40" s="3" t="n">
        <v>520</v>
      </c>
      <c r="R40" s="3" t="n">
        <v>130</v>
      </c>
      <c r="S40" s="3" t="s">
        <v>139</v>
      </c>
      <c r="T40" s="3" t="n">
        <v>66</v>
      </c>
      <c r="U40" s="4" t="n">
        <f aca="false">YEAR(S40)</f>
        <v>2024</v>
      </c>
      <c r="V40" s="4" t="n">
        <f aca="false">MONTH(S40)</f>
        <v>1</v>
      </c>
      <c r="W40" s="4" t="n">
        <f aca="false">ROUNDUP(MONTH(S40)/3,0)</f>
        <v>1</v>
      </c>
      <c r="X40" s="4" t="str">
        <f aca="false">IF(D40&lt;=10,"Yaxın (&lt;=10 dəq)",IF(D40&lt;=20,"Orta (11-20 dəq)","Uzaq (20+ dəq)"))</f>
        <v>Orta (11-20 dəq)</v>
      </c>
      <c r="Y40" s="4" t="str">
        <f aca="false">IF(I40&lt;60,"Kiçik (&lt;60 m²)",IF(I40&lt;90,"Orta (60-90 m²)",IF(I40&lt;120,"Böyük (90-120 m²)","Çox böyük (120+ m²)")))</f>
        <v>Orta (60-90 m²)</v>
      </c>
      <c r="Z40" s="4" t="str">
        <f aca="false">IF(P40&lt;70000,"Ekonom (&lt;70K)",IF(P40&lt;120000,"Orta (70-120K)",IF(P40&lt;200000,"Yüksək (120-200K)","Premium (200K+)")))</f>
        <v>Orta (70-120K)</v>
      </c>
      <c r="AA40" s="4" t="str">
        <f aca="false">IF(G40&lt;=5,"Yeni (0-5)",IF(G40&lt;=15,"Orta-yeni (6-15)",IF(G40&lt;=30,"Orta (16-30)","Köhnə (30+)")))</f>
        <v>Yeni (0-5)</v>
      </c>
      <c r="AB40" s="4" t="n">
        <f aca="false">ROUND((Q40*12)/P40*100,2)</f>
        <v>5.94</v>
      </c>
      <c r="AC40" s="4" t="n">
        <f aca="false">Q40-R40</f>
        <v>390</v>
      </c>
    </row>
    <row r="41" customFormat="false" ht="14.25" hidden="false" customHeight="false" outlineLevel="0" collapsed="false">
      <c r="A41" s="3" t="s">
        <v>140</v>
      </c>
      <c r="B41" s="3" t="s">
        <v>111</v>
      </c>
      <c r="C41" s="3" t="s">
        <v>42</v>
      </c>
      <c r="D41" s="3" t="n">
        <v>5</v>
      </c>
      <c r="E41" s="3" t="s">
        <v>32</v>
      </c>
      <c r="F41" s="3" t="n">
        <v>2005</v>
      </c>
      <c r="G41" s="3" t="n">
        <v>20</v>
      </c>
      <c r="H41" s="3" t="n">
        <v>2</v>
      </c>
      <c r="I41" s="3" t="n">
        <v>79.1</v>
      </c>
      <c r="J41" s="3" t="n">
        <v>4</v>
      </c>
      <c r="K41" s="3" t="n">
        <v>20</v>
      </c>
      <c r="L41" s="3" t="s">
        <v>43</v>
      </c>
      <c r="M41" s="3" t="s">
        <v>34</v>
      </c>
      <c r="N41" s="3" t="s">
        <v>34</v>
      </c>
      <c r="O41" s="3" t="n">
        <v>1315</v>
      </c>
      <c r="P41" s="3" t="n">
        <v>104000</v>
      </c>
      <c r="Q41" s="3" t="n">
        <v>590</v>
      </c>
      <c r="R41" s="3" t="n">
        <v>120</v>
      </c>
      <c r="S41" s="3" t="s">
        <v>114</v>
      </c>
      <c r="T41" s="3" t="n">
        <v>51</v>
      </c>
      <c r="U41" s="4" t="n">
        <f aca="false">YEAR(S41)</f>
        <v>2025</v>
      </c>
      <c r="V41" s="4" t="n">
        <f aca="false">MONTH(S41)</f>
        <v>2</v>
      </c>
      <c r="W41" s="4" t="n">
        <f aca="false">ROUNDUP(MONTH(S41)/3,0)</f>
        <v>1</v>
      </c>
      <c r="X41" s="4" t="str">
        <f aca="false">IF(D41&lt;=10,"Yaxın (&lt;=10 dəq)",IF(D41&lt;=20,"Orta (11-20 dəq)","Uzaq (20+ dəq)"))</f>
        <v>Yaxın (&lt;=10 dəq)</v>
      </c>
      <c r="Y41" s="4" t="str">
        <f aca="false">IF(I41&lt;60,"Kiçik (&lt;60 m²)",IF(I41&lt;90,"Orta (60-90 m²)",IF(I41&lt;120,"Böyük (90-120 m²)","Çox böyük (120+ m²)")))</f>
        <v>Orta (60-90 m²)</v>
      </c>
      <c r="Z41" s="4" t="str">
        <f aca="false">IF(P41&lt;70000,"Ekonom (&lt;70K)",IF(P41&lt;120000,"Orta (70-120K)",IF(P41&lt;200000,"Yüksək (120-200K)","Premium (200K+)")))</f>
        <v>Orta (70-120K)</v>
      </c>
      <c r="AA41" s="4" t="str">
        <f aca="false">IF(G41&lt;=5,"Yeni (0-5)",IF(G41&lt;=15,"Orta-yeni (6-15)",IF(G41&lt;=30,"Orta (16-30)","Köhnə (30+)")))</f>
        <v>Orta (16-30)</v>
      </c>
      <c r="AB41" s="4" t="n">
        <f aca="false">ROUND((Q41*12)/P41*100,2)</f>
        <v>6.81</v>
      </c>
      <c r="AC41" s="4" t="n">
        <f aca="false">Q41-R41</f>
        <v>470</v>
      </c>
    </row>
    <row r="42" customFormat="false" ht="14.25" hidden="false" customHeight="false" outlineLevel="0" collapsed="false">
      <c r="A42" s="3" t="s">
        <v>141</v>
      </c>
      <c r="B42" s="3" t="s">
        <v>111</v>
      </c>
      <c r="C42" s="3" t="s">
        <v>42</v>
      </c>
      <c r="D42" s="3" t="n">
        <v>29</v>
      </c>
      <c r="E42" s="3" t="s">
        <v>32</v>
      </c>
      <c r="F42" s="3" t="n">
        <v>2020</v>
      </c>
      <c r="G42" s="3" t="n">
        <v>5</v>
      </c>
      <c r="H42" s="3" t="n">
        <v>5</v>
      </c>
      <c r="I42" s="3" t="n">
        <v>149.9</v>
      </c>
      <c r="J42" s="3" t="n">
        <v>5</v>
      </c>
      <c r="K42" s="3" t="n">
        <v>12</v>
      </c>
      <c r="L42" s="3" t="s">
        <v>53</v>
      </c>
      <c r="M42" s="3" t="s">
        <v>39</v>
      </c>
      <c r="N42" s="3" t="s">
        <v>34</v>
      </c>
      <c r="O42" s="3" t="n">
        <v>1434</v>
      </c>
      <c r="P42" s="3" t="n">
        <v>215000</v>
      </c>
      <c r="Q42" s="3" t="n">
        <v>1210</v>
      </c>
      <c r="R42" s="3" t="n">
        <v>190</v>
      </c>
      <c r="S42" s="3" t="s">
        <v>142</v>
      </c>
      <c r="T42" s="3" t="n">
        <v>101</v>
      </c>
      <c r="U42" s="4" t="n">
        <f aca="false">YEAR(S42)</f>
        <v>2024</v>
      </c>
      <c r="V42" s="4" t="n">
        <f aca="false">MONTH(S42)</f>
        <v>1</v>
      </c>
      <c r="W42" s="4" t="n">
        <f aca="false">ROUNDUP(MONTH(S42)/3,0)</f>
        <v>1</v>
      </c>
      <c r="X42" s="4" t="str">
        <f aca="false">IF(D42&lt;=10,"Yaxın (&lt;=10 dəq)",IF(D42&lt;=20,"Orta (11-20 dəq)","Uzaq (20+ dəq)"))</f>
        <v>Uzaq (20+ dəq)</v>
      </c>
      <c r="Y42" s="4" t="str">
        <f aca="false">IF(I42&lt;60,"Kiçik (&lt;60 m²)",IF(I42&lt;90,"Orta (60-90 m²)",IF(I42&lt;120,"Böyük (90-120 m²)","Çox böyük (120+ m²)")))</f>
        <v>Çox böyük (120+ m²)</v>
      </c>
      <c r="Z42" s="4" t="str">
        <f aca="false">IF(P42&lt;70000,"Ekonom (&lt;70K)",IF(P42&lt;120000,"Orta (70-120K)",IF(P42&lt;200000,"Yüksək (120-200K)","Premium (200K+)")))</f>
        <v>Premium (200K+)</v>
      </c>
      <c r="AA42" s="4" t="str">
        <f aca="false">IF(G42&lt;=5,"Yeni (0-5)",IF(G42&lt;=15,"Orta-yeni (6-15)",IF(G42&lt;=30,"Orta (16-30)","Köhnə (30+)")))</f>
        <v>Yeni (0-5)</v>
      </c>
      <c r="AB42" s="4" t="n">
        <f aca="false">ROUND((Q42*12)/P42*100,2)</f>
        <v>6.75</v>
      </c>
      <c r="AC42" s="4" t="n">
        <f aca="false">Q42-R42</f>
        <v>1020</v>
      </c>
    </row>
    <row r="43" customFormat="false" ht="14.25" hidden="false" customHeight="false" outlineLevel="0" collapsed="false">
      <c r="A43" s="3" t="s">
        <v>143</v>
      </c>
      <c r="B43" s="3" t="s">
        <v>71</v>
      </c>
      <c r="C43" s="3" t="s">
        <v>65</v>
      </c>
      <c r="D43" s="3" t="n">
        <v>3</v>
      </c>
      <c r="E43" s="3" t="s">
        <v>32</v>
      </c>
      <c r="F43" s="3" t="n">
        <v>2005</v>
      </c>
      <c r="G43" s="3" t="n">
        <v>20</v>
      </c>
      <c r="H43" s="3" t="n">
        <v>5</v>
      </c>
      <c r="I43" s="3" t="n">
        <v>141.2</v>
      </c>
      <c r="J43" s="3" t="n">
        <v>7</v>
      </c>
      <c r="K43" s="3" t="n">
        <v>9</v>
      </c>
      <c r="L43" s="3" t="s">
        <v>33</v>
      </c>
      <c r="M43" s="3" t="s">
        <v>39</v>
      </c>
      <c r="N43" s="3" t="s">
        <v>34</v>
      </c>
      <c r="O43" s="3" t="n">
        <v>1618</v>
      </c>
      <c r="P43" s="3" t="n">
        <v>228500</v>
      </c>
      <c r="Q43" s="3" t="n">
        <v>1290</v>
      </c>
      <c r="R43" s="3" t="n">
        <v>225</v>
      </c>
      <c r="S43" s="3" t="s">
        <v>144</v>
      </c>
      <c r="T43" s="3" t="n">
        <v>159</v>
      </c>
      <c r="U43" s="4" t="n">
        <f aca="false">YEAR(S43)</f>
        <v>2024</v>
      </c>
      <c r="V43" s="4" t="n">
        <f aca="false">MONTH(S43)</f>
        <v>9</v>
      </c>
      <c r="W43" s="4" t="n">
        <f aca="false">ROUNDUP(MONTH(S43)/3,0)</f>
        <v>3</v>
      </c>
      <c r="X43" s="4" t="str">
        <f aca="false">IF(D43&lt;=10,"Yaxın (&lt;=10 dəq)",IF(D43&lt;=20,"Orta (11-20 dəq)","Uzaq (20+ dəq)"))</f>
        <v>Yaxın (&lt;=10 dəq)</v>
      </c>
      <c r="Y43" s="4" t="str">
        <f aca="false">IF(I43&lt;60,"Kiçik (&lt;60 m²)",IF(I43&lt;90,"Orta (60-90 m²)",IF(I43&lt;120,"Böyük (90-120 m²)","Çox böyük (120+ m²)")))</f>
        <v>Çox böyük (120+ m²)</v>
      </c>
      <c r="Z43" s="4" t="str">
        <f aca="false">IF(P43&lt;70000,"Ekonom (&lt;70K)",IF(P43&lt;120000,"Orta (70-120K)",IF(P43&lt;200000,"Yüksək (120-200K)","Premium (200K+)")))</f>
        <v>Premium (200K+)</v>
      </c>
      <c r="AA43" s="4" t="str">
        <f aca="false">IF(G43&lt;=5,"Yeni (0-5)",IF(G43&lt;=15,"Orta-yeni (6-15)",IF(G43&lt;=30,"Orta (16-30)","Köhnə (30+)")))</f>
        <v>Orta (16-30)</v>
      </c>
      <c r="AB43" s="4" t="n">
        <f aca="false">ROUND((Q43*12)/P43*100,2)</f>
        <v>6.77</v>
      </c>
      <c r="AC43" s="4" t="n">
        <f aca="false">Q43-R43</f>
        <v>1065</v>
      </c>
    </row>
    <row r="44" customFormat="false" ht="14.25" hidden="false" customHeight="false" outlineLevel="0" collapsed="false">
      <c r="A44" s="3" t="s">
        <v>145</v>
      </c>
      <c r="B44" s="3" t="s">
        <v>60</v>
      </c>
      <c r="C44" s="3" t="s">
        <v>61</v>
      </c>
      <c r="D44" s="3" t="n">
        <v>27</v>
      </c>
      <c r="E44" s="3" t="s">
        <v>52</v>
      </c>
      <c r="F44" s="3" t="n">
        <v>1986</v>
      </c>
      <c r="G44" s="3" t="n">
        <v>39</v>
      </c>
      <c r="H44" s="3" t="n">
        <v>4</v>
      </c>
      <c r="I44" s="3" t="n">
        <v>144.4</v>
      </c>
      <c r="J44" s="3" t="n">
        <v>3</v>
      </c>
      <c r="K44" s="3" t="n">
        <v>9</v>
      </c>
      <c r="L44" s="3" t="s">
        <v>33</v>
      </c>
      <c r="M44" s="3" t="s">
        <v>39</v>
      </c>
      <c r="N44" s="3" t="s">
        <v>34</v>
      </c>
      <c r="O44" s="3" t="n">
        <v>1425</v>
      </c>
      <c r="P44" s="3" t="n">
        <v>205800</v>
      </c>
      <c r="Q44" s="3" t="n">
        <v>890</v>
      </c>
      <c r="R44" s="3" t="n">
        <v>195</v>
      </c>
      <c r="S44" s="3" t="s">
        <v>146</v>
      </c>
      <c r="T44" s="3" t="n">
        <v>130</v>
      </c>
      <c r="U44" s="4" t="n">
        <f aca="false">YEAR(S44)</f>
        <v>2024</v>
      </c>
      <c r="V44" s="4" t="n">
        <f aca="false">MONTH(S44)</f>
        <v>6</v>
      </c>
      <c r="W44" s="4" t="n">
        <f aca="false">ROUNDUP(MONTH(S44)/3,0)</f>
        <v>2</v>
      </c>
      <c r="X44" s="4" t="str">
        <f aca="false">IF(D44&lt;=10,"Yaxın (&lt;=10 dəq)",IF(D44&lt;=20,"Orta (11-20 dəq)","Uzaq (20+ dəq)"))</f>
        <v>Uzaq (20+ dəq)</v>
      </c>
      <c r="Y44" s="4" t="str">
        <f aca="false">IF(I44&lt;60,"Kiçik (&lt;60 m²)",IF(I44&lt;90,"Orta (60-90 m²)",IF(I44&lt;120,"Böyük (90-120 m²)","Çox böyük (120+ m²)")))</f>
        <v>Çox böyük (120+ m²)</v>
      </c>
      <c r="Z44" s="4" t="str">
        <f aca="false">IF(P44&lt;70000,"Ekonom (&lt;70K)",IF(P44&lt;120000,"Orta (70-120K)",IF(P44&lt;200000,"Yüksək (120-200K)","Premium (200K+)")))</f>
        <v>Premium (200K+)</v>
      </c>
      <c r="AA44" s="4" t="str">
        <f aca="false">IF(G44&lt;=5,"Yeni (0-5)",IF(G44&lt;=15,"Orta-yeni (6-15)",IF(G44&lt;=30,"Orta (16-30)","Köhnə (30+)")))</f>
        <v>Köhnə (30+)</v>
      </c>
      <c r="AB44" s="4" t="n">
        <f aca="false">ROUND((Q44*12)/P44*100,2)</f>
        <v>5.19</v>
      </c>
      <c r="AC44" s="4" t="n">
        <f aca="false">Q44-R44</f>
        <v>695</v>
      </c>
    </row>
    <row r="45" customFormat="false" ht="14.25" hidden="false" customHeight="false" outlineLevel="0" collapsed="false">
      <c r="A45" s="3" t="s">
        <v>147</v>
      </c>
      <c r="B45" s="3" t="s">
        <v>56</v>
      </c>
      <c r="C45" s="3" t="s">
        <v>56</v>
      </c>
      <c r="D45" s="3" t="n">
        <v>5</v>
      </c>
      <c r="E45" s="3" t="s">
        <v>32</v>
      </c>
      <c r="F45" s="3" t="n">
        <v>2020</v>
      </c>
      <c r="G45" s="3" t="n">
        <v>5</v>
      </c>
      <c r="H45" s="3" t="n">
        <v>2</v>
      </c>
      <c r="I45" s="3" t="n">
        <v>70.5</v>
      </c>
      <c r="J45" s="3" t="n">
        <v>8</v>
      </c>
      <c r="K45" s="3" t="n">
        <v>20</v>
      </c>
      <c r="L45" s="3" t="s">
        <v>43</v>
      </c>
      <c r="M45" s="3" t="s">
        <v>39</v>
      </c>
      <c r="N45" s="3" t="s">
        <v>34</v>
      </c>
      <c r="O45" s="3" t="n">
        <v>1416</v>
      </c>
      <c r="P45" s="3" t="n">
        <v>99800</v>
      </c>
      <c r="Q45" s="3" t="n">
        <v>490</v>
      </c>
      <c r="R45" s="3" t="n">
        <v>125</v>
      </c>
      <c r="S45" s="3" t="s">
        <v>40</v>
      </c>
      <c r="T45" s="3" t="n">
        <v>21</v>
      </c>
      <c r="U45" s="4" t="n">
        <f aca="false">YEAR(S45)</f>
        <v>2024</v>
      </c>
      <c r="V45" s="4" t="n">
        <f aca="false">MONTH(S45)</f>
        <v>2</v>
      </c>
      <c r="W45" s="4" t="n">
        <f aca="false">ROUNDUP(MONTH(S45)/3,0)</f>
        <v>1</v>
      </c>
      <c r="X45" s="4" t="str">
        <f aca="false">IF(D45&lt;=10,"Yaxın (&lt;=10 dəq)",IF(D45&lt;=20,"Orta (11-20 dəq)","Uzaq (20+ dəq)"))</f>
        <v>Yaxın (&lt;=10 dəq)</v>
      </c>
      <c r="Y45" s="4" t="str">
        <f aca="false">IF(I45&lt;60,"Kiçik (&lt;60 m²)",IF(I45&lt;90,"Orta (60-90 m²)",IF(I45&lt;120,"Böyük (90-120 m²)","Çox böyük (120+ m²)")))</f>
        <v>Orta (60-90 m²)</v>
      </c>
      <c r="Z45" s="4" t="str">
        <f aca="false">IF(P45&lt;70000,"Ekonom (&lt;70K)",IF(P45&lt;120000,"Orta (70-120K)",IF(P45&lt;200000,"Yüksək (120-200K)","Premium (200K+)")))</f>
        <v>Orta (70-120K)</v>
      </c>
      <c r="AA45" s="4" t="str">
        <f aca="false">IF(G45&lt;=5,"Yeni (0-5)",IF(G45&lt;=15,"Orta-yeni (6-15)",IF(G45&lt;=30,"Orta (16-30)","Köhnə (30+)")))</f>
        <v>Yeni (0-5)</v>
      </c>
      <c r="AB45" s="4" t="n">
        <f aca="false">ROUND((Q45*12)/P45*100,2)</f>
        <v>5.89</v>
      </c>
      <c r="AC45" s="4" t="n">
        <f aca="false">Q45-R45</f>
        <v>365</v>
      </c>
    </row>
    <row r="46" customFormat="false" ht="14.25" hidden="false" customHeight="false" outlineLevel="0" collapsed="false">
      <c r="A46" s="3" t="s">
        <v>148</v>
      </c>
      <c r="B46" s="3" t="s">
        <v>98</v>
      </c>
      <c r="C46" s="3" t="s">
        <v>98</v>
      </c>
      <c r="D46" s="3" t="n">
        <v>2</v>
      </c>
      <c r="E46" s="3" t="s">
        <v>52</v>
      </c>
      <c r="F46" s="3" t="n">
        <v>2000</v>
      </c>
      <c r="G46" s="3" t="n">
        <v>25</v>
      </c>
      <c r="H46" s="3" t="n">
        <v>2</v>
      </c>
      <c r="I46" s="3" t="n">
        <v>63.8</v>
      </c>
      <c r="J46" s="3" t="n">
        <v>3</v>
      </c>
      <c r="K46" s="3" t="n">
        <v>5</v>
      </c>
      <c r="L46" s="3" t="s">
        <v>53</v>
      </c>
      <c r="M46" s="3" t="s">
        <v>39</v>
      </c>
      <c r="N46" s="3" t="s">
        <v>34</v>
      </c>
      <c r="O46" s="3" t="n">
        <v>1655</v>
      </c>
      <c r="P46" s="3" t="n">
        <v>105600</v>
      </c>
      <c r="Q46" s="3" t="n">
        <v>600</v>
      </c>
      <c r="R46" s="3" t="n">
        <v>110</v>
      </c>
      <c r="S46" s="3" t="s">
        <v>149</v>
      </c>
      <c r="T46" s="3" t="n">
        <v>73</v>
      </c>
      <c r="U46" s="4" t="n">
        <f aca="false">YEAR(S46)</f>
        <v>2025</v>
      </c>
      <c r="V46" s="4" t="n">
        <f aca="false">MONTH(S46)</f>
        <v>1</v>
      </c>
      <c r="W46" s="4" t="n">
        <f aca="false">ROUNDUP(MONTH(S46)/3,0)</f>
        <v>1</v>
      </c>
      <c r="X46" s="4" t="str">
        <f aca="false">IF(D46&lt;=10,"Yaxın (&lt;=10 dəq)",IF(D46&lt;=20,"Orta (11-20 dəq)","Uzaq (20+ dəq)"))</f>
        <v>Yaxın (&lt;=10 dəq)</v>
      </c>
      <c r="Y46" s="4" t="str">
        <f aca="false">IF(I46&lt;60,"Kiçik (&lt;60 m²)",IF(I46&lt;90,"Orta (60-90 m²)",IF(I46&lt;120,"Böyük (90-120 m²)","Çox böyük (120+ m²)")))</f>
        <v>Orta (60-90 m²)</v>
      </c>
      <c r="Z46" s="4" t="str">
        <f aca="false">IF(P46&lt;70000,"Ekonom (&lt;70K)",IF(P46&lt;120000,"Orta (70-120K)",IF(P46&lt;200000,"Yüksək (120-200K)","Premium (200K+)")))</f>
        <v>Orta (70-120K)</v>
      </c>
      <c r="AA46" s="4" t="str">
        <f aca="false">IF(G46&lt;=5,"Yeni (0-5)",IF(G46&lt;=15,"Orta-yeni (6-15)",IF(G46&lt;=30,"Orta (16-30)","Köhnə (30+)")))</f>
        <v>Orta (16-30)</v>
      </c>
      <c r="AB46" s="4" t="n">
        <f aca="false">ROUND((Q46*12)/P46*100,2)</f>
        <v>6.82</v>
      </c>
      <c r="AC46" s="4" t="n">
        <f aca="false">Q46-R46</f>
        <v>490</v>
      </c>
    </row>
    <row r="47" customFormat="false" ht="14.25" hidden="false" customHeight="false" outlineLevel="0" collapsed="false">
      <c r="A47" s="3" t="s">
        <v>150</v>
      </c>
      <c r="B47" s="3" t="s">
        <v>56</v>
      </c>
      <c r="C47" s="3" t="s">
        <v>57</v>
      </c>
      <c r="D47" s="3" t="n">
        <v>14</v>
      </c>
      <c r="E47" s="3" t="s">
        <v>52</v>
      </c>
      <c r="F47" s="3" t="n">
        <v>1993</v>
      </c>
      <c r="G47" s="3" t="n">
        <v>32</v>
      </c>
      <c r="H47" s="3" t="n">
        <v>1</v>
      </c>
      <c r="I47" s="3" t="n">
        <v>45.9</v>
      </c>
      <c r="J47" s="3" t="n">
        <v>3</v>
      </c>
      <c r="K47" s="3" t="n">
        <v>5</v>
      </c>
      <c r="L47" s="3" t="s">
        <v>53</v>
      </c>
      <c r="M47" s="3" t="s">
        <v>39</v>
      </c>
      <c r="N47" s="3" t="s">
        <v>34</v>
      </c>
      <c r="O47" s="3" t="n">
        <v>1257</v>
      </c>
      <c r="P47" s="3" t="n">
        <v>57700</v>
      </c>
      <c r="Q47" s="3" t="n">
        <v>300</v>
      </c>
      <c r="R47" s="3" t="n">
        <v>90</v>
      </c>
      <c r="S47" s="3" t="s">
        <v>151</v>
      </c>
      <c r="T47" s="3" t="n">
        <v>20</v>
      </c>
      <c r="U47" s="4" t="n">
        <f aca="false">YEAR(S47)</f>
        <v>2024</v>
      </c>
      <c r="V47" s="4" t="n">
        <f aca="false">MONTH(S47)</f>
        <v>3</v>
      </c>
      <c r="W47" s="4" t="n">
        <f aca="false">ROUNDUP(MONTH(S47)/3,0)</f>
        <v>1</v>
      </c>
      <c r="X47" s="4" t="str">
        <f aca="false">IF(D47&lt;=10,"Yaxın (&lt;=10 dəq)",IF(D47&lt;=20,"Orta (11-20 dəq)","Uzaq (20+ dəq)"))</f>
        <v>Orta (11-20 dəq)</v>
      </c>
      <c r="Y47" s="4" t="str">
        <f aca="false">IF(I47&lt;60,"Kiçik (&lt;60 m²)",IF(I47&lt;90,"Orta (60-90 m²)",IF(I47&lt;120,"Böyük (90-120 m²)","Çox böyük (120+ m²)")))</f>
        <v>Kiçik (&lt;60 m²)</v>
      </c>
      <c r="Z47" s="4" t="str">
        <f aca="false">IF(P47&lt;70000,"Ekonom (&lt;70K)",IF(P47&lt;120000,"Orta (70-120K)",IF(P47&lt;200000,"Yüksək (120-200K)","Premium (200K+)")))</f>
        <v>Ekonom (&lt;70K)</v>
      </c>
      <c r="AA47" s="4" t="str">
        <f aca="false">IF(G47&lt;=5,"Yeni (0-5)",IF(G47&lt;=15,"Orta-yeni (6-15)",IF(G47&lt;=30,"Orta (16-30)","Köhnə (30+)")))</f>
        <v>Köhnə (30+)</v>
      </c>
      <c r="AB47" s="4" t="n">
        <f aca="false">ROUND((Q47*12)/P47*100,2)</f>
        <v>6.24</v>
      </c>
      <c r="AC47" s="4" t="n">
        <f aca="false">Q47-R47</f>
        <v>210</v>
      </c>
    </row>
    <row r="48" customFormat="false" ht="14.25" hidden="false" customHeight="false" outlineLevel="0" collapsed="false">
      <c r="A48" s="3" t="s">
        <v>152</v>
      </c>
      <c r="B48" s="3" t="s">
        <v>56</v>
      </c>
      <c r="C48" s="3" t="s">
        <v>56</v>
      </c>
      <c r="D48" s="3" t="n">
        <v>5</v>
      </c>
      <c r="E48" s="3" t="s">
        <v>52</v>
      </c>
      <c r="F48" s="3" t="n">
        <v>1992</v>
      </c>
      <c r="G48" s="3" t="n">
        <v>33</v>
      </c>
      <c r="H48" s="3" t="n">
        <v>3</v>
      </c>
      <c r="I48" s="3" t="n">
        <v>89.4</v>
      </c>
      <c r="J48" s="3" t="n">
        <v>2</v>
      </c>
      <c r="K48" s="3" t="n">
        <v>9</v>
      </c>
      <c r="L48" s="3" t="s">
        <v>73</v>
      </c>
      <c r="M48" s="3" t="s">
        <v>39</v>
      </c>
      <c r="N48" s="3" t="s">
        <v>34</v>
      </c>
      <c r="O48" s="3" t="n">
        <v>1245</v>
      </c>
      <c r="P48" s="3" t="n">
        <v>111300</v>
      </c>
      <c r="Q48" s="3" t="n">
        <v>480</v>
      </c>
      <c r="R48" s="3" t="n">
        <v>130</v>
      </c>
      <c r="S48" s="3" t="s">
        <v>153</v>
      </c>
      <c r="T48" s="3" t="n">
        <v>44</v>
      </c>
      <c r="U48" s="4" t="n">
        <f aca="false">YEAR(S48)</f>
        <v>2024</v>
      </c>
      <c r="V48" s="4" t="n">
        <f aca="false">MONTH(S48)</f>
        <v>8</v>
      </c>
      <c r="W48" s="4" t="n">
        <f aca="false">ROUNDUP(MONTH(S48)/3,0)</f>
        <v>3</v>
      </c>
      <c r="X48" s="4" t="str">
        <f aca="false">IF(D48&lt;=10,"Yaxın (&lt;=10 dəq)",IF(D48&lt;=20,"Orta (11-20 dəq)","Uzaq (20+ dəq)"))</f>
        <v>Yaxın (&lt;=10 dəq)</v>
      </c>
      <c r="Y48" s="4" t="str">
        <f aca="false">IF(I48&lt;60,"Kiçik (&lt;60 m²)",IF(I48&lt;90,"Orta (60-90 m²)",IF(I48&lt;120,"Böyük (90-120 m²)","Çox böyük (120+ m²)")))</f>
        <v>Orta (60-90 m²)</v>
      </c>
      <c r="Z48" s="4" t="str">
        <f aca="false">IF(P48&lt;70000,"Ekonom (&lt;70K)",IF(P48&lt;120000,"Orta (70-120K)",IF(P48&lt;200000,"Yüksək (120-200K)","Premium (200K+)")))</f>
        <v>Orta (70-120K)</v>
      </c>
      <c r="AA48" s="4" t="str">
        <f aca="false">IF(G48&lt;=5,"Yeni (0-5)",IF(G48&lt;=15,"Orta-yeni (6-15)",IF(G48&lt;=30,"Orta (16-30)","Köhnə (30+)")))</f>
        <v>Köhnə (30+)</v>
      </c>
      <c r="AB48" s="4" t="n">
        <f aca="false">ROUND((Q48*12)/P48*100,2)</f>
        <v>5.18</v>
      </c>
      <c r="AC48" s="4" t="n">
        <f aca="false">Q48-R48</f>
        <v>350</v>
      </c>
    </row>
    <row r="49" customFormat="false" ht="14.25" hidden="false" customHeight="false" outlineLevel="0" collapsed="false">
      <c r="A49" s="3" t="s">
        <v>154</v>
      </c>
      <c r="B49" s="3" t="s">
        <v>111</v>
      </c>
      <c r="C49" s="3" t="s">
        <v>42</v>
      </c>
      <c r="D49" s="3" t="n">
        <v>25</v>
      </c>
      <c r="E49" s="3" t="s">
        <v>52</v>
      </c>
      <c r="F49" s="3" t="n">
        <v>2004</v>
      </c>
      <c r="G49" s="3" t="n">
        <v>21</v>
      </c>
      <c r="H49" s="3" t="n">
        <v>3</v>
      </c>
      <c r="I49" s="3" t="n">
        <v>106.6</v>
      </c>
      <c r="J49" s="3" t="n">
        <v>5</v>
      </c>
      <c r="K49" s="3" t="n">
        <v>9</v>
      </c>
      <c r="L49" s="3" t="s">
        <v>33</v>
      </c>
      <c r="M49" s="3" t="s">
        <v>34</v>
      </c>
      <c r="N49" s="3" t="s">
        <v>34</v>
      </c>
      <c r="O49" s="3" t="n">
        <v>853</v>
      </c>
      <c r="P49" s="3" t="n">
        <v>90900</v>
      </c>
      <c r="Q49" s="3" t="n">
        <v>420</v>
      </c>
      <c r="R49" s="3" t="n">
        <v>150</v>
      </c>
      <c r="S49" s="3" t="s">
        <v>155</v>
      </c>
      <c r="T49" s="3" t="n">
        <v>38</v>
      </c>
      <c r="U49" s="4" t="n">
        <f aca="false">YEAR(S49)</f>
        <v>2024</v>
      </c>
      <c r="V49" s="4" t="n">
        <f aca="false">MONTH(S49)</f>
        <v>10</v>
      </c>
      <c r="W49" s="4" t="n">
        <f aca="false">ROUNDUP(MONTH(S49)/3,0)</f>
        <v>4</v>
      </c>
      <c r="X49" s="4" t="str">
        <f aca="false">IF(D49&lt;=10,"Yaxın (&lt;=10 dəq)",IF(D49&lt;=20,"Orta (11-20 dəq)","Uzaq (20+ dəq)"))</f>
        <v>Uzaq (20+ dəq)</v>
      </c>
      <c r="Y49" s="4" t="str">
        <f aca="false">IF(I49&lt;60,"Kiçik (&lt;60 m²)",IF(I49&lt;90,"Orta (60-90 m²)",IF(I49&lt;120,"Böyük (90-120 m²)","Çox böyük (120+ m²)")))</f>
        <v>Böyük (90-120 m²)</v>
      </c>
      <c r="Z49" s="4" t="str">
        <f aca="false">IF(P49&lt;70000,"Ekonom (&lt;70K)",IF(P49&lt;120000,"Orta (70-120K)",IF(P49&lt;200000,"Yüksək (120-200K)","Premium (200K+)")))</f>
        <v>Orta (70-120K)</v>
      </c>
      <c r="AA49" s="4" t="str">
        <f aca="false">IF(G49&lt;=5,"Yeni (0-5)",IF(G49&lt;=15,"Orta-yeni (6-15)",IF(G49&lt;=30,"Orta (16-30)","Köhnə (30+)")))</f>
        <v>Orta (16-30)</v>
      </c>
      <c r="AB49" s="4" t="n">
        <f aca="false">ROUND((Q49*12)/P49*100,2)</f>
        <v>5.54</v>
      </c>
      <c r="AC49" s="4" t="n">
        <f aca="false">Q49-R49</f>
        <v>270</v>
      </c>
    </row>
    <row r="50" customFormat="false" ht="14.25" hidden="false" customHeight="false" outlineLevel="0" collapsed="false">
      <c r="A50" s="3" t="s">
        <v>156</v>
      </c>
      <c r="B50" s="3" t="s">
        <v>30</v>
      </c>
      <c r="C50" s="3" t="s">
        <v>31</v>
      </c>
      <c r="D50" s="3" t="n">
        <v>4</v>
      </c>
      <c r="E50" s="3" t="s">
        <v>32</v>
      </c>
      <c r="F50" s="3" t="n">
        <v>2012</v>
      </c>
      <c r="G50" s="3" t="n">
        <v>13</v>
      </c>
      <c r="H50" s="3" t="n">
        <v>2</v>
      </c>
      <c r="I50" s="3" t="n">
        <v>62.8</v>
      </c>
      <c r="J50" s="3" t="n">
        <v>7</v>
      </c>
      <c r="K50" s="3" t="n">
        <v>9</v>
      </c>
      <c r="L50" s="3" t="s">
        <v>53</v>
      </c>
      <c r="M50" s="3" t="s">
        <v>34</v>
      </c>
      <c r="N50" s="3" t="s">
        <v>34</v>
      </c>
      <c r="O50" s="3" t="n">
        <v>1771</v>
      </c>
      <c r="P50" s="3" t="n">
        <v>111200</v>
      </c>
      <c r="Q50" s="3" t="n">
        <v>470</v>
      </c>
      <c r="R50" s="3" t="n">
        <v>125</v>
      </c>
      <c r="S50" s="3" t="s">
        <v>157</v>
      </c>
      <c r="T50" s="3" t="n">
        <v>38</v>
      </c>
      <c r="U50" s="4" t="n">
        <f aca="false">YEAR(S50)</f>
        <v>2024</v>
      </c>
      <c r="V50" s="4" t="n">
        <f aca="false">MONTH(S50)</f>
        <v>1</v>
      </c>
      <c r="W50" s="4" t="n">
        <f aca="false">ROUNDUP(MONTH(S50)/3,0)</f>
        <v>1</v>
      </c>
      <c r="X50" s="4" t="str">
        <f aca="false">IF(D50&lt;=10,"Yaxın (&lt;=10 dəq)",IF(D50&lt;=20,"Orta (11-20 dəq)","Uzaq (20+ dəq)"))</f>
        <v>Yaxın (&lt;=10 dəq)</v>
      </c>
      <c r="Y50" s="4" t="str">
        <f aca="false">IF(I50&lt;60,"Kiçik (&lt;60 m²)",IF(I50&lt;90,"Orta (60-90 m²)",IF(I50&lt;120,"Böyük (90-120 m²)","Çox böyük (120+ m²)")))</f>
        <v>Orta (60-90 m²)</v>
      </c>
      <c r="Z50" s="4" t="str">
        <f aca="false">IF(P50&lt;70000,"Ekonom (&lt;70K)",IF(P50&lt;120000,"Orta (70-120K)",IF(P50&lt;200000,"Yüksək (120-200K)","Premium (200K+)")))</f>
        <v>Orta (70-120K)</v>
      </c>
      <c r="AA50" s="4" t="str">
        <f aca="false">IF(G50&lt;=5,"Yeni (0-5)",IF(G50&lt;=15,"Orta-yeni (6-15)",IF(G50&lt;=30,"Orta (16-30)","Köhnə (30+)")))</f>
        <v>Orta-yeni (6-15)</v>
      </c>
      <c r="AB50" s="4" t="n">
        <f aca="false">ROUND((Q50*12)/P50*100,2)</f>
        <v>5.07</v>
      </c>
      <c r="AC50" s="4" t="n">
        <f aca="false">Q50-R50</f>
        <v>345</v>
      </c>
    </row>
    <row r="51" customFormat="false" ht="14.25" hidden="false" customHeight="false" outlineLevel="0" collapsed="false">
      <c r="A51" s="3" t="s">
        <v>158</v>
      </c>
      <c r="B51" s="3" t="s">
        <v>37</v>
      </c>
      <c r="C51" s="3" t="s">
        <v>38</v>
      </c>
      <c r="D51" s="3" t="n">
        <v>2</v>
      </c>
      <c r="E51" s="3" t="s">
        <v>32</v>
      </c>
      <c r="F51" s="3" t="n">
        <v>2007</v>
      </c>
      <c r="G51" s="3" t="n">
        <v>18</v>
      </c>
      <c r="H51" s="3" t="n">
        <v>2</v>
      </c>
      <c r="I51" s="3" t="n">
        <v>78.7</v>
      </c>
      <c r="J51" s="3" t="n">
        <v>10</v>
      </c>
      <c r="K51" s="3" t="n">
        <v>20</v>
      </c>
      <c r="L51" s="3" t="s">
        <v>53</v>
      </c>
      <c r="M51" s="3" t="s">
        <v>34</v>
      </c>
      <c r="N51" s="3" t="s">
        <v>34</v>
      </c>
      <c r="O51" s="3" t="n">
        <v>1266</v>
      </c>
      <c r="P51" s="3" t="n">
        <v>99600</v>
      </c>
      <c r="Q51" s="3" t="n">
        <v>420</v>
      </c>
      <c r="R51" s="3" t="n">
        <v>130</v>
      </c>
      <c r="S51" s="3" t="s">
        <v>159</v>
      </c>
      <c r="T51" s="3" t="n">
        <v>46</v>
      </c>
      <c r="U51" s="4" t="n">
        <f aca="false">YEAR(S51)</f>
        <v>2024</v>
      </c>
      <c r="V51" s="4" t="n">
        <f aca="false">MONTH(S51)</f>
        <v>4</v>
      </c>
      <c r="W51" s="4" t="n">
        <f aca="false">ROUNDUP(MONTH(S51)/3,0)</f>
        <v>2</v>
      </c>
      <c r="X51" s="4" t="str">
        <f aca="false">IF(D51&lt;=10,"Yaxın (&lt;=10 dəq)",IF(D51&lt;=20,"Orta (11-20 dəq)","Uzaq (20+ dəq)"))</f>
        <v>Yaxın (&lt;=10 dəq)</v>
      </c>
      <c r="Y51" s="4" t="str">
        <f aca="false">IF(I51&lt;60,"Kiçik (&lt;60 m²)",IF(I51&lt;90,"Orta (60-90 m²)",IF(I51&lt;120,"Böyük (90-120 m²)","Çox böyük (120+ m²)")))</f>
        <v>Orta (60-90 m²)</v>
      </c>
      <c r="Z51" s="4" t="str">
        <f aca="false">IF(P51&lt;70000,"Ekonom (&lt;70K)",IF(P51&lt;120000,"Orta (70-120K)",IF(P51&lt;200000,"Yüksək (120-200K)","Premium (200K+)")))</f>
        <v>Orta (70-120K)</v>
      </c>
      <c r="AA51" s="4" t="str">
        <f aca="false">IF(G51&lt;=5,"Yeni (0-5)",IF(G51&lt;=15,"Orta-yeni (6-15)",IF(G51&lt;=30,"Orta (16-30)","Köhnə (30+)")))</f>
        <v>Orta (16-30)</v>
      </c>
      <c r="AB51" s="4" t="n">
        <f aca="false">ROUND((Q51*12)/P51*100,2)</f>
        <v>5.06</v>
      </c>
      <c r="AC51" s="4" t="n">
        <f aca="false">Q51-R51</f>
        <v>290</v>
      </c>
    </row>
    <row r="52" customFormat="false" ht="14.25" hidden="false" customHeight="false" outlineLevel="0" collapsed="false">
      <c r="A52" s="3" t="s">
        <v>160</v>
      </c>
      <c r="B52" s="3" t="s">
        <v>60</v>
      </c>
      <c r="C52" s="3" t="s">
        <v>84</v>
      </c>
      <c r="D52" s="3" t="n">
        <v>2</v>
      </c>
      <c r="E52" s="3" t="s">
        <v>52</v>
      </c>
      <c r="F52" s="3" t="n">
        <v>1975</v>
      </c>
      <c r="G52" s="3" t="n">
        <v>50</v>
      </c>
      <c r="H52" s="3" t="n">
        <v>3</v>
      </c>
      <c r="I52" s="3" t="n">
        <v>108.1</v>
      </c>
      <c r="J52" s="3" t="n">
        <v>6</v>
      </c>
      <c r="K52" s="3" t="n">
        <v>9</v>
      </c>
      <c r="L52" s="3" t="s">
        <v>33</v>
      </c>
      <c r="M52" s="3" t="s">
        <v>34</v>
      </c>
      <c r="N52" s="3" t="s">
        <v>34</v>
      </c>
      <c r="O52" s="3" t="n">
        <v>1482</v>
      </c>
      <c r="P52" s="3" t="n">
        <v>160200</v>
      </c>
      <c r="Q52" s="3" t="n">
        <v>720</v>
      </c>
      <c r="R52" s="3" t="n">
        <v>170</v>
      </c>
      <c r="S52" s="3" t="s">
        <v>161</v>
      </c>
      <c r="T52" s="3" t="n">
        <v>36</v>
      </c>
      <c r="U52" s="4" t="n">
        <f aca="false">YEAR(S52)</f>
        <v>2024</v>
      </c>
      <c r="V52" s="4" t="n">
        <f aca="false">MONTH(S52)</f>
        <v>9</v>
      </c>
      <c r="W52" s="4" t="n">
        <f aca="false">ROUNDUP(MONTH(S52)/3,0)</f>
        <v>3</v>
      </c>
      <c r="X52" s="4" t="str">
        <f aca="false">IF(D52&lt;=10,"Yaxın (&lt;=10 dəq)",IF(D52&lt;=20,"Orta (11-20 dəq)","Uzaq (20+ dəq)"))</f>
        <v>Yaxın (&lt;=10 dəq)</v>
      </c>
      <c r="Y52" s="4" t="str">
        <f aca="false">IF(I52&lt;60,"Kiçik (&lt;60 m²)",IF(I52&lt;90,"Orta (60-90 m²)",IF(I52&lt;120,"Böyük (90-120 m²)","Çox böyük (120+ m²)")))</f>
        <v>Böyük (90-120 m²)</v>
      </c>
      <c r="Z52" s="4" t="str">
        <f aca="false">IF(P52&lt;70000,"Ekonom (&lt;70K)",IF(P52&lt;120000,"Orta (70-120K)",IF(P52&lt;200000,"Yüksək (120-200K)","Premium (200K+)")))</f>
        <v>Yüksək (120-200K)</v>
      </c>
      <c r="AA52" s="4" t="str">
        <f aca="false">IF(G52&lt;=5,"Yeni (0-5)",IF(G52&lt;=15,"Orta-yeni (6-15)",IF(G52&lt;=30,"Orta (16-30)","Köhnə (30+)")))</f>
        <v>Köhnə (30+)</v>
      </c>
      <c r="AB52" s="4" t="n">
        <f aca="false">ROUND((Q52*12)/P52*100,2)</f>
        <v>5.39</v>
      </c>
      <c r="AC52" s="4" t="n">
        <f aca="false">Q52-R52</f>
        <v>550</v>
      </c>
    </row>
    <row r="53" customFormat="false" ht="14.25" hidden="false" customHeight="false" outlineLevel="0" collapsed="false">
      <c r="A53" s="3" t="s">
        <v>162</v>
      </c>
      <c r="B53" s="3" t="s">
        <v>106</v>
      </c>
      <c r="C53" s="3" t="s">
        <v>106</v>
      </c>
      <c r="D53" s="3" t="n">
        <v>9</v>
      </c>
      <c r="E53" s="3" t="s">
        <v>32</v>
      </c>
      <c r="F53" s="3" t="n">
        <v>2013</v>
      </c>
      <c r="G53" s="3" t="n">
        <v>12</v>
      </c>
      <c r="H53" s="3" t="n">
        <v>2</v>
      </c>
      <c r="I53" s="3" t="n">
        <v>64.1</v>
      </c>
      <c r="J53" s="3" t="n">
        <v>8</v>
      </c>
      <c r="K53" s="3" t="n">
        <v>16</v>
      </c>
      <c r="L53" s="3" t="s">
        <v>73</v>
      </c>
      <c r="M53" s="3" t="s">
        <v>39</v>
      </c>
      <c r="N53" s="3" t="s">
        <v>34</v>
      </c>
      <c r="O53" s="3" t="n">
        <v>1250</v>
      </c>
      <c r="P53" s="3" t="n">
        <v>80100</v>
      </c>
      <c r="Q53" s="3" t="n">
        <v>410</v>
      </c>
      <c r="R53" s="3" t="n">
        <v>110</v>
      </c>
      <c r="S53" s="3" t="s">
        <v>159</v>
      </c>
      <c r="T53" s="3" t="n">
        <v>14</v>
      </c>
      <c r="U53" s="4" t="n">
        <f aca="false">YEAR(S53)</f>
        <v>2024</v>
      </c>
      <c r="V53" s="4" t="n">
        <f aca="false">MONTH(S53)</f>
        <v>4</v>
      </c>
      <c r="W53" s="4" t="n">
        <f aca="false">ROUNDUP(MONTH(S53)/3,0)</f>
        <v>2</v>
      </c>
      <c r="X53" s="4" t="str">
        <f aca="false">IF(D53&lt;=10,"Yaxın (&lt;=10 dəq)",IF(D53&lt;=20,"Orta (11-20 dəq)","Uzaq (20+ dəq)"))</f>
        <v>Yaxın (&lt;=10 dəq)</v>
      </c>
      <c r="Y53" s="4" t="str">
        <f aca="false">IF(I53&lt;60,"Kiçik (&lt;60 m²)",IF(I53&lt;90,"Orta (60-90 m²)",IF(I53&lt;120,"Böyük (90-120 m²)","Çox böyük (120+ m²)")))</f>
        <v>Orta (60-90 m²)</v>
      </c>
      <c r="Z53" s="4" t="str">
        <f aca="false">IF(P53&lt;70000,"Ekonom (&lt;70K)",IF(P53&lt;120000,"Orta (70-120K)",IF(P53&lt;200000,"Yüksək (120-200K)","Premium (200K+)")))</f>
        <v>Orta (70-120K)</v>
      </c>
      <c r="AA53" s="4" t="str">
        <f aca="false">IF(G53&lt;=5,"Yeni (0-5)",IF(G53&lt;=15,"Orta-yeni (6-15)",IF(G53&lt;=30,"Orta (16-30)","Köhnə (30+)")))</f>
        <v>Orta-yeni (6-15)</v>
      </c>
      <c r="AB53" s="4" t="n">
        <f aca="false">ROUND((Q53*12)/P53*100,2)</f>
        <v>6.14</v>
      </c>
      <c r="AC53" s="4" t="n">
        <f aca="false">Q53-R53</f>
        <v>300</v>
      </c>
    </row>
    <row r="54" customFormat="false" ht="14.25" hidden="false" customHeight="false" outlineLevel="0" collapsed="false">
      <c r="A54" s="3" t="s">
        <v>163</v>
      </c>
      <c r="B54" s="3" t="s">
        <v>56</v>
      </c>
      <c r="C54" s="3" t="s">
        <v>56</v>
      </c>
      <c r="D54" s="3" t="n">
        <v>4</v>
      </c>
      <c r="E54" s="3" t="s">
        <v>32</v>
      </c>
      <c r="F54" s="3" t="n">
        <v>2007</v>
      </c>
      <c r="G54" s="3" t="n">
        <v>18</v>
      </c>
      <c r="H54" s="3" t="n">
        <v>2</v>
      </c>
      <c r="I54" s="3" t="n">
        <v>79.1</v>
      </c>
      <c r="J54" s="3" t="n">
        <v>7</v>
      </c>
      <c r="K54" s="3" t="n">
        <v>20</v>
      </c>
      <c r="L54" s="3" t="s">
        <v>33</v>
      </c>
      <c r="M54" s="3" t="s">
        <v>39</v>
      </c>
      <c r="N54" s="3" t="s">
        <v>34</v>
      </c>
      <c r="O54" s="3" t="n">
        <v>1089</v>
      </c>
      <c r="P54" s="3" t="n">
        <v>86100</v>
      </c>
      <c r="Q54" s="3" t="n">
        <v>380</v>
      </c>
      <c r="R54" s="3" t="n">
        <v>140</v>
      </c>
      <c r="S54" s="3" t="s">
        <v>164</v>
      </c>
      <c r="T54" s="3" t="n">
        <v>34</v>
      </c>
      <c r="U54" s="4" t="n">
        <f aca="false">YEAR(S54)</f>
        <v>2024</v>
      </c>
      <c r="V54" s="4" t="n">
        <f aca="false">MONTH(S54)</f>
        <v>5</v>
      </c>
      <c r="W54" s="4" t="n">
        <f aca="false">ROUNDUP(MONTH(S54)/3,0)</f>
        <v>2</v>
      </c>
      <c r="X54" s="4" t="str">
        <f aca="false">IF(D54&lt;=10,"Yaxın (&lt;=10 dəq)",IF(D54&lt;=20,"Orta (11-20 dəq)","Uzaq (20+ dəq)"))</f>
        <v>Yaxın (&lt;=10 dəq)</v>
      </c>
      <c r="Y54" s="4" t="str">
        <f aca="false">IF(I54&lt;60,"Kiçik (&lt;60 m²)",IF(I54&lt;90,"Orta (60-90 m²)",IF(I54&lt;120,"Böyük (90-120 m²)","Çox böyük (120+ m²)")))</f>
        <v>Orta (60-90 m²)</v>
      </c>
      <c r="Z54" s="4" t="str">
        <f aca="false">IF(P54&lt;70000,"Ekonom (&lt;70K)",IF(P54&lt;120000,"Orta (70-120K)",IF(P54&lt;200000,"Yüksək (120-200K)","Premium (200K+)")))</f>
        <v>Orta (70-120K)</v>
      </c>
      <c r="AA54" s="4" t="str">
        <f aca="false">IF(G54&lt;=5,"Yeni (0-5)",IF(G54&lt;=15,"Orta-yeni (6-15)",IF(G54&lt;=30,"Orta (16-30)","Köhnə (30+)")))</f>
        <v>Orta (16-30)</v>
      </c>
      <c r="AB54" s="4" t="n">
        <f aca="false">ROUND((Q54*12)/P54*100,2)</f>
        <v>5.3</v>
      </c>
      <c r="AC54" s="4" t="n">
        <f aca="false">Q54-R54</f>
        <v>240</v>
      </c>
    </row>
    <row r="55" customFormat="false" ht="14.25" hidden="false" customHeight="false" outlineLevel="0" collapsed="false">
      <c r="A55" s="3" t="s">
        <v>165</v>
      </c>
      <c r="B55" s="3" t="s">
        <v>46</v>
      </c>
      <c r="C55" s="3" t="s">
        <v>46</v>
      </c>
      <c r="D55" s="3" t="n">
        <v>7</v>
      </c>
      <c r="E55" s="3" t="s">
        <v>52</v>
      </c>
      <c r="F55" s="3" t="n">
        <v>1968</v>
      </c>
      <c r="G55" s="3" t="n">
        <v>57</v>
      </c>
      <c r="H55" s="3" t="n">
        <v>2</v>
      </c>
      <c r="I55" s="3" t="n">
        <v>75.8</v>
      </c>
      <c r="J55" s="3" t="n">
        <v>3</v>
      </c>
      <c r="K55" s="3" t="n">
        <v>5</v>
      </c>
      <c r="L55" s="3" t="s">
        <v>33</v>
      </c>
      <c r="M55" s="3" t="s">
        <v>39</v>
      </c>
      <c r="N55" s="3" t="s">
        <v>34</v>
      </c>
      <c r="O55" s="3" t="n">
        <v>851</v>
      </c>
      <c r="P55" s="3" t="n">
        <v>64500</v>
      </c>
      <c r="Q55" s="3" t="n">
        <v>370</v>
      </c>
      <c r="R55" s="3" t="n">
        <v>125</v>
      </c>
      <c r="S55" s="3" t="s">
        <v>166</v>
      </c>
      <c r="T55" s="3" t="n">
        <v>19</v>
      </c>
      <c r="U55" s="4" t="n">
        <f aca="false">YEAR(S55)</f>
        <v>2024</v>
      </c>
      <c r="V55" s="4" t="n">
        <f aca="false">MONTH(S55)</f>
        <v>3</v>
      </c>
      <c r="W55" s="4" t="n">
        <f aca="false">ROUNDUP(MONTH(S55)/3,0)</f>
        <v>1</v>
      </c>
      <c r="X55" s="4" t="str">
        <f aca="false">IF(D55&lt;=10,"Yaxın (&lt;=10 dəq)",IF(D55&lt;=20,"Orta (11-20 dəq)","Uzaq (20+ dəq)"))</f>
        <v>Yaxın (&lt;=10 dəq)</v>
      </c>
      <c r="Y55" s="4" t="str">
        <f aca="false">IF(I55&lt;60,"Kiçik (&lt;60 m²)",IF(I55&lt;90,"Orta (60-90 m²)",IF(I55&lt;120,"Böyük (90-120 m²)","Çox böyük (120+ m²)")))</f>
        <v>Orta (60-90 m²)</v>
      </c>
      <c r="Z55" s="4" t="str">
        <f aca="false">IF(P55&lt;70000,"Ekonom (&lt;70K)",IF(P55&lt;120000,"Orta (70-120K)",IF(P55&lt;200000,"Yüksək (120-200K)","Premium (200K+)")))</f>
        <v>Ekonom (&lt;70K)</v>
      </c>
      <c r="AA55" s="4" t="str">
        <f aca="false">IF(G55&lt;=5,"Yeni (0-5)",IF(G55&lt;=15,"Orta-yeni (6-15)",IF(G55&lt;=30,"Orta (16-30)","Köhnə (30+)")))</f>
        <v>Köhnə (30+)</v>
      </c>
      <c r="AB55" s="4" t="n">
        <f aca="false">ROUND((Q55*12)/P55*100,2)</f>
        <v>6.88</v>
      </c>
      <c r="AC55" s="4" t="n">
        <f aca="false">Q55-R55</f>
        <v>245</v>
      </c>
    </row>
    <row r="56" customFormat="false" ht="14.25" hidden="false" customHeight="false" outlineLevel="0" collapsed="false">
      <c r="A56" s="3" t="s">
        <v>167</v>
      </c>
      <c r="B56" s="3" t="s">
        <v>37</v>
      </c>
      <c r="C56" s="3" t="s">
        <v>51</v>
      </c>
      <c r="D56" s="3" t="n">
        <v>33</v>
      </c>
      <c r="E56" s="3" t="s">
        <v>52</v>
      </c>
      <c r="F56" s="3" t="n">
        <v>1974</v>
      </c>
      <c r="G56" s="3" t="n">
        <v>51</v>
      </c>
      <c r="H56" s="3" t="n">
        <v>4</v>
      </c>
      <c r="I56" s="3" t="n">
        <v>111.5</v>
      </c>
      <c r="J56" s="3" t="n">
        <v>1</v>
      </c>
      <c r="K56" s="3" t="n">
        <v>5</v>
      </c>
      <c r="L56" s="3" t="s">
        <v>43</v>
      </c>
      <c r="M56" s="3" t="s">
        <v>39</v>
      </c>
      <c r="N56" s="3" t="s">
        <v>34</v>
      </c>
      <c r="O56" s="3" t="n">
        <v>789</v>
      </c>
      <c r="P56" s="3" t="n">
        <v>88000</v>
      </c>
      <c r="Q56" s="3" t="n">
        <v>420</v>
      </c>
      <c r="R56" s="3" t="n">
        <v>155</v>
      </c>
      <c r="S56" s="3" t="s">
        <v>168</v>
      </c>
      <c r="T56" s="3" t="n">
        <v>18</v>
      </c>
      <c r="U56" s="4" t="n">
        <f aca="false">YEAR(S56)</f>
        <v>2024</v>
      </c>
      <c r="V56" s="4" t="n">
        <f aca="false">MONTH(S56)</f>
        <v>12</v>
      </c>
      <c r="W56" s="4" t="n">
        <f aca="false">ROUNDUP(MONTH(S56)/3,0)</f>
        <v>4</v>
      </c>
      <c r="X56" s="4" t="str">
        <f aca="false">IF(D56&lt;=10,"Yaxın (&lt;=10 dəq)",IF(D56&lt;=20,"Orta (11-20 dəq)","Uzaq (20+ dəq)"))</f>
        <v>Uzaq (20+ dəq)</v>
      </c>
      <c r="Y56" s="4" t="str">
        <f aca="false">IF(I56&lt;60,"Kiçik (&lt;60 m²)",IF(I56&lt;90,"Orta (60-90 m²)",IF(I56&lt;120,"Böyük (90-120 m²)","Çox böyük (120+ m²)")))</f>
        <v>Böyük (90-120 m²)</v>
      </c>
      <c r="Z56" s="4" t="str">
        <f aca="false">IF(P56&lt;70000,"Ekonom (&lt;70K)",IF(P56&lt;120000,"Orta (70-120K)",IF(P56&lt;200000,"Yüksək (120-200K)","Premium (200K+)")))</f>
        <v>Orta (70-120K)</v>
      </c>
      <c r="AA56" s="4" t="str">
        <f aca="false">IF(G56&lt;=5,"Yeni (0-5)",IF(G56&lt;=15,"Orta-yeni (6-15)",IF(G56&lt;=30,"Orta (16-30)","Köhnə (30+)")))</f>
        <v>Köhnə (30+)</v>
      </c>
      <c r="AB56" s="4" t="n">
        <f aca="false">ROUND((Q56*12)/P56*100,2)</f>
        <v>5.73</v>
      </c>
      <c r="AC56" s="4" t="n">
        <f aca="false">Q56-R56</f>
        <v>265</v>
      </c>
    </row>
    <row r="57" customFormat="false" ht="14.25" hidden="false" customHeight="false" outlineLevel="0" collapsed="false">
      <c r="A57" s="3" t="s">
        <v>169</v>
      </c>
      <c r="B57" s="3" t="s">
        <v>106</v>
      </c>
      <c r="C57" s="3" t="s">
        <v>51</v>
      </c>
      <c r="D57" s="3" t="n">
        <v>35</v>
      </c>
      <c r="E57" s="3" t="s">
        <v>32</v>
      </c>
      <c r="F57" s="3" t="n">
        <v>2024</v>
      </c>
      <c r="G57" s="3" t="n">
        <v>1</v>
      </c>
      <c r="H57" s="3" t="n">
        <v>2</v>
      </c>
      <c r="I57" s="3" t="n">
        <v>78.2</v>
      </c>
      <c r="J57" s="3" t="n">
        <v>12</v>
      </c>
      <c r="K57" s="3" t="n">
        <v>16</v>
      </c>
      <c r="L57" s="3" t="s">
        <v>43</v>
      </c>
      <c r="M57" s="3" t="s">
        <v>34</v>
      </c>
      <c r="N57" s="3" t="s">
        <v>34</v>
      </c>
      <c r="O57" s="3" t="n">
        <v>1045</v>
      </c>
      <c r="P57" s="3" t="n">
        <v>81700</v>
      </c>
      <c r="Q57" s="3" t="n">
        <v>400</v>
      </c>
      <c r="R57" s="3" t="n">
        <v>130</v>
      </c>
      <c r="S57" s="3" t="s">
        <v>170</v>
      </c>
      <c r="T57" s="3" t="n">
        <v>44</v>
      </c>
      <c r="U57" s="4" t="n">
        <f aca="false">YEAR(S57)</f>
        <v>2024</v>
      </c>
      <c r="V57" s="4" t="n">
        <f aca="false">MONTH(S57)</f>
        <v>8</v>
      </c>
      <c r="W57" s="4" t="n">
        <f aca="false">ROUNDUP(MONTH(S57)/3,0)</f>
        <v>3</v>
      </c>
      <c r="X57" s="4" t="str">
        <f aca="false">IF(D57&lt;=10,"Yaxın (&lt;=10 dəq)",IF(D57&lt;=20,"Orta (11-20 dəq)","Uzaq (20+ dəq)"))</f>
        <v>Uzaq (20+ dəq)</v>
      </c>
      <c r="Y57" s="4" t="str">
        <f aca="false">IF(I57&lt;60,"Kiçik (&lt;60 m²)",IF(I57&lt;90,"Orta (60-90 m²)",IF(I57&lt;120,"Böyük (90-120 m²)","Çox böyük (120+ m²)")))</f>
        <v>Orta (60-90 m²)</v>
      </c>
      <c r="Z57" s="4" t="str">
        <f aca="false">IF(P57&lt;70000,"Ekonom (&lt;70K)",IF(P57&lt;120000,"Orta (70-120K)",IF(P57&lt;200000,"Yüksək (120-200K)","Premium (200K+)")))</f>
        <v>Orta (70-120K)</v>
      </c>
      <c r="AA57" s="4" t="str">
        <f aca="false">IF(G57&lt;=5,"Yeni (0-5)",IF(G57&lt;=15,"Orta-yeni (6-15)",IF(G57&lt;=30,"Orta (16-30)","Köhnə (30+)")))</f>
        <v>Yeni (0-5)</v>
      </c>
      <c r="AB57" s="4" t="n">
        <f aca="false">ROUND((Q57*12)/P57*100,2)</f>
        <v>5.88</v>
      </c>
      <c r="AC57" s="4" t="n">
        <f aca="false">Q57-R57</f>
        <v>270</v>
      </c>
    </row>
    <row r="58" customFormat="false" ht="14.25" hidden="false" customHeight="false" outlineLevel="0" collapsed="false">
      <c r="A58" s="3" t="s">
        <v>171</v>
      </c>
      <c r="B58" s="3" t="s">
        <v>50</v>
      </c>
      <c r="C58" s="3" t="s">
        <v>51</v>
      </c>
      <c r="D58" s="3" t="n">
        <v>18</v>
      </c>
      <c r="E58" s="3" t="s">
        <v>52</v>
      </c>
      <c r="F58" s="3" t="n">
        <v>1991</v>
      </c>
      <c r="G58" s="3" t="n">
        <v>34</v>
      </c>
      <c r="H58" s="3" t="n">
        <v>4</v>
      </c>
      <c r="I58" s="3" t="n">
        <v>137.2</v>
      </c>
      <c r="J58" s="3" t="n">
        <v>2</v>
      </c>
      <c r="K58" s="3" t="n">
        <v>9</v>
      </c>
      <c r="L58" s="3" t="s">
        <v>33</v>
      </c>
      <c r="M58" s="3" t="s">
        <v>39</v>
      </c>
      <c r="N58" s="3" t="s">
        <v>34</v>
      </c>
      <c r="O58" s="3" t="n">
        <v>822</v>
      </c>
      <c r="P58" s="3" t="n">
        <v>112800</v>
      </c>
      <c r="Q58" s="3" t="n">
        <v>540</v>
      </c>
      <c r="R58" s="3" t="n">
        <v>210</v>
      </c>
      <c r="S58" s="3" t="s">
        <v>172</v>
      </c>
      <c r="T58" s="3" t="n">
        <v>79</v>
      </c>
      <c r="U58" s="4" t="n">
        <f aca="false">YEAR(S58)</f>
        <v>2024</v>
      </c>
      <c r="V58" s="4" t="n">
        <f aca="false">MONTH(S58)</f>
        <v>6</v>
      </c>
      <c r="W58" s="4" t="n">
        <f aca="false">ROUNDUP(MONTH(S58)/3,0)</f>
        <v>2</v>
      </c>
      <c r="X58" s="4" t="str">
        <f aca="false">IF(D58&lt;=10,"Yaxın (&lt;=10 dəq)",IF(D58&lt;=20,"Orta (11-20 dəq)","Uzaq (20+ dəq)"))</f>
        <v>Orta (11-20 dəq)</v>
      </c>
      <c r="Y58" s="4" t="str">
        <f aca="false">IF(I58&lt;60,"Kiçik (&lt;60 m²)",IF(I58&lt;90,"Orta (60-90 m²)",IF(I58&lt;120,"Böyük (90-120 m²)","Çox böyük (120+ m²)")))</f>
        <v>Çox böyük (120+ m²)</v>
      </c>
      <c r="Z58" s="4" t="str">
        <f aca="false">IF(P58&lt;70000,"Ekonom (&lt;70K)",IF(P58&lt;120000,"Orta (70-120K)",IF(P58&lt;200000,"Yüksək (120-200K)","Premium (200K+)")))</f>
        <v>Orta (70-120K)</v>
      </c>
      <c r="AA58" s="4" t="str">
        <f aca="false">IF(G58&lt;=5,"Yeni (0-5)",IF(G58&lt;=15,"Orta-yeni (6-15)",IF(G58&lt;=30,"Orta (16-30)","Köhnə (30+)")))</f>
        <v>Köhnə (30+)</v>
      </c>
      <c r="AB58" s="4" t="n">
        <f aca="false">ROUND((Q58*12)/P58*100,2)</f>
        <v>5.74</v>
      </c>
      <c r="AC58" s="4" t="n">
        <f aca="false">Q58-R58</f>
        <v>330</v>
      </c>
    </row>
    <row r="59" customFormat="false" ht="14.25" hidden="false" customHeight="false" outlineLevel="0" collapsed="false">
      <c r="A59" s="3" t="s">
        <v>173</v>
      </c>
      <c r="B59" s="3" t="s">
        <v>64</v>
      </c>
      <c r="C59" s="3" t="s">
        <v>64</v>
      </c>
      <c r="D59" s="3" t="n">
        <v>18</v>
      </c>
      <c r="E59" s="3" t="s">
        <v>52</v>
      </c>
      <c r="F59" s="3" t="n">
        <v>1986</v>
      </c>
      <c r="G59" s="3" t="n">
        <v>39</v>
      </c>
      <c r="H59" s="3" t="n">
        <v>3</v>
      </c>
      <c r="I59" s="3" t="n">
        <v>106.8</v>
      </c>
      <c r="J59" s="3" t="n">
        <v>1</v>
      </c>
      <c r="K59" s="3" t="n">
        <v>5</v>
      </c>
      <c r="L59" s="3" t="s">
        <v>73</v>
      </c>
      <c r="M59" s="3" t="s">
        <v>39</v>
      </c>
      <c r="N59" s="3" t="s">
        <v>39</v>
      </c>
      <c r="O59" s="3" t="n">
        <v>1912</v>
      </c>
      <c r="P59" s="3" t="n">
        <v>204200</v>
      </c>
      <c r="Q59" s="3" t="n">
        <v>1120</v>
      </c>
      <c r="R59" s="3" t="n">
        <v>150</v>
      </c>
      <c r="S59" s="3" t="s">
        <v>174</v>
      </c>
      <c r="T59" s="3" t="n">
        <v>121</v>
      </c>
      <c r="U59" s="4" t="n">
        <f aca="false">YEAR(S59)</f>
        <v>2024</v>
      </c>
      <c r="V59" s="4" t="n">
        <f aca="false">MONTH(S59)</f>
        <v>11</v>
      </c>
      <c r="W59" s="4" t="n">
        <f aca="false">ROUNDUP(MONTH(S59)/3,0)</f>
        <v>4</v>
      </c>
      <c r="X59" s="4" t="str">
        <f aca="false">IF(D59&lt;=10,"Yaxın (&lt;=10 dəq)",IF(D59&lt;=20,"Orta (11-20 dəq)","Uzaq (20+ dəq)"))</f>
        <v>Orta (11-20 dəq)</v>
      </c>
      <c r="Y59" s="4" t="str">
        <f aca="false">IF(I59&lt;60,"Kiçik (&lt;60 m²)",IF(I59&lt;90,"Orta (60-90 m²)",IF(I59&lt;120,"Böyük (90-120 m²)","Çox böyük (120+ m²)")))</f>
        <v>Böyük (90-120 m²)</v>
      </c>
      <c r="Z59" s="4" t="str">
        <f aca="false">IF(P59&lt;70000,"Ekonom (&lt;70K)",IF(P59&lt;120000,"Orta (70-120K)",IF(P59&lt;200000,"Yüksək (120-200K)","Premium (200K+)")))</f>
        <v>Premium (200K+)</v>
      </c>
      <c r="AA59" s="4" t="str">
        <f aca="false">IF(G59&lt;=5,"Yeni (0-5)",IF(G59&lt;=15,"Orta-yeni (6-15)",IF(G59&lt;=30,"Orta (16-30)","Köhnə (30+)")))</f>
        <v>Köhnə (30+)</v>
      </c>
      <c r="AB59" s="4" t="n">
        <f aca="false">ROUND((Q59*12)/P59*100,2)</f>
        <v>6.58</v>
      </c>
      <c r="AC59" s="4" t="n">
        <f aca="false">Q59-R59</f>
        <v>970</v>
      </c>
    </row>
    <row r="60" customFormat="false" ht="14.25" hidden="false" customHeight="false" outlineLevel="0" collapsed="false">
      <c r="A60" s="3" t="s">
        <v>175</v>
      </c>
      <c r="B60" s="3" t="s">
        <v>98</v>
      </c>
      <c r="C60" s="3" t="s">
        <v>98</v>
      </c>
      <c r="D60" s="3" t="n">
        <v>9</v>
      </c>
      <c r="E60" s="3" t="s">
        <v>32</v>
      </c>
      <c r="F60" s="3" t="n">
        <v>2024</v>
      </c>
      <c r="G60" s="3" t="n">
        <v>1</v>
      </c>
      <c r="H60" s="3" t="n">
        <v>2</v>
      </c>
      <c r="I60" s="3" t="n">
        <v>77.4</v>
      </c>
      <c r="J60" s="3" t="n">
        <v>6</v>
      </c>
      <c r="K60" s="3" t="n">
        <v>12</v>
      </c>
      <c r="L60" s="3" t="s">
        <v>53</v>
      </c>
      <c r="M60" s="3" t="s">
        <v>34</v>
      </c>
      <c r="N60" s="3" t="s">
        <v>34</v>
      </c>
      <c r="O60" s="3" t="n">
        <v>2194</v>
      </c>
      <c r="P60" s="3" t="n">
        <v>169800</v>
      </c>
      <c r="Q60" s="3" t="n">
        <v>770</v>
      </c>
      <c r="R60" s="3" t="n">
        <v>120</v>
      </c>
      <c r="S60" s="3" t="s">
        <v>80</v>
      </c>
      <c r="T60" s="3" t="n">
        <v>60</v>
      </c>
      <c r="U60" s="4" t="n">
        <f aca="false">YEAR(S60)</f>
        <v>2024</v>
      </c>
      <c r="V60" s="4" t="n">
        <f aca="false">MONTH(S60)</f>
        <v>11</v>
      </c>
      <c r="W60" s="4" t="n">
        <f aca="false">ROUNDUP(MONTH(S60)/3,0)</f>
        <v>4</v>
      </c>
      <c r="X60" s="4" t="str">
        <f aca="false">IF(D60&lt;=10,"Yaxın (&lt;=10 dəq)",IF(D60&lt;=20,"Orta (11-20 dəq)","Uzaq (20+ dəq)"))</f>
        <v>Yaxın (&lt;=10 dəq)</v>
      </c>
      <c r="Y60" s="4" t="str">
        <f aca="false">IF(I60&lt;60,"Kiçik (&lt;60 m²)",IF(I60&lt;90,"Orta (60-90 m²)",IF(I60&lt;120,"Böyük (90-120 m²)","Çox böyük (120+ m²)")))</f>
        <v>Orta (60-90 m²)</v>
      </c>
      <c r="Z60" s="4" t="str">
        <f aca="false">IF(P60&lt;70000,"Ekonom (&lt;70K)",IF(P60&lt;120000,"Orta (70-120K)",IF(P60&lt;200000,"Yüksək (120-200K)","Premium (200K+)")))</f>
        <v>Yüksək (120-200K)</v>
      </c>
      <c r="AA60" s="4" t="str">
        <f aca="false">IF(G60&lt;=5,"Yeni (0-5)",IF(G60&lt;=15,"Orta-yeni (6-15)",IF(G60&lt;=30,"Orta (16-30)","Köhnə (30+)")))</f>
        <v>Yeni (0-5)</v>
      </c>
      <c r="AB60" s="4" t="n">
        <f aca="false">ROUND((Q60*12)/P60*100,2)</f>
        <v>5.44</v>
      </c>
      <c r="AC60" s="4" t="n">
        <f aca="false">Q60-R60</f>
        <v>650</v>
      </c>
    </row>
    <row r="61" customFormat="false" ht="14.25" hidden="false" customHeight="false" outlineLevel="0" collapsed="false">
      <c r="A61" s="3" t="s">
        <v>176</v>
      </c>
      <c r="B61" s="3" t="s">
        <v>106</v>
      </c>
      <c r="C61" s="3" t="s">
        <v>51</v>
      </c>
      <c r="D61" s="3" t="n">
        <v>11</v>
      </c>
      <c r="E61" s="3" t="s">
        <v>52</v>
      </c>
      <c r="F61" s="3" t="n">
        <v>1972</v>
      </c>
      <c r="G61" s="3" t="n">
        <v>53</v>
      </c>
      <c r="H61" s="3" t="n">
        <v>3</v>
      </c>
      <c r="I61" s="3" t="n">
        <v>87</v>
      </c>
      <c r="J61" s="3" t="n">
        <v>3</v>
      </c>
      <c r="K61" s="3" t="n">
        <v>5</v>
      </c>
      <c r="L61" s="3" t="s">
        <v>73</v>
      </c>
      <c r="M61" s="3" t="s">
        <v>39</v>
      </c>
      <c r="N61" s="3" t="s">
        <v>34</v>
      </c>
      <c r="O61" s="3" t="n">
        <v>999</v>
      </c>
      <c r="P61" s="3" t="n">
        <v>86900</v>
      </c>
      <c r="Q61" s="3" t="n">
        <v>440</v>
      </c>
      <c r="R61" s="3" t="n">
        <v>150</v>
      </c>
      <c r="S61" s="3" t="s">
        <v>177</v>
      </c>
      <c r="T61" s="3" t="n">
        <v>32</v>
      </c>
      <c r="U61" s="4" t="n">
        <f aca="false">YEAR(S61)</f>
        <v>2024</v>
      </c>
      <c r="V61" s="4" t="n">
        <f aca="false">MONTH(S61)</f>
        <v>7</v>
      </c>
      <c r="W61" s="4" t="n">
        <f aca="false">ROUNDUP(MONTH(S61)/3,0)</f>
        <v>3</v>
      </c>
      <c r="X61" s="4" t="str">
        <f aca="false">IF(D61&lt;=10,"Yaxın (&lt;=10 dəq)",IF(D61&lt;=20,"Orta (11-20 dəq)","Uzaq (20+ dəq)"))</f>
        <v>Orta (11-20 dəq)</v>
      </c>
      <c r="Y61" s="4" t="str">
        <f aca="false">IF(I61&lt;60,"Kiçik (&lt;60 m²)",IF(I61&lt;90,"Orta (60-90 m²)",IF(I61&lt;120,"Böyük (90-120 m²)","Çox böyük (120+ m²)")))</f>
        <v>Orta (60-90 m²)</v>
      </c>
      <c r="Z61" s="4" t="str">
        <f aca="false">IF(P61&lt;70000,"Ekonom (&lt;70K)",IF(P61&lt;120000,"Orta (70-120K)",IF(P61&lt;200000,"Yüksək (120-200K)","Premium (200K+)")))</f>
        <v>Orta (70-120K)</v>
      </c>
      <c r="AA61" s="4" t="str">
        <f aca="false">IF(G61&lt;=5,"Yeni (0-5)",IF(G61&lt;=15,"Orta-yeni (6-15)",IF(G61&lt;=30,"Orta (16-30)","Köhnə (30+)")))</f>
        <v>Köhnə (30+)</v>
      </c>
      <c r="AB61" s="4" t="n">
        <f aca="false">ROUND((Q61*12)/P61*100,2)</f>
        <v>6.08</v>
      </c>
      <c r="AC61" s="4" t="n">
        <f aca="false">Q61-R61</f>
        <v>290</v>
      </c>
    </row>
  </sheetData>
  <autoFilter ref="A1:AC6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2026-06-11T11:50:29Z</dcterms:created>
  <dc:creator/>
  <dc:description/>
  <dc:language>en-US</dc:language>
  <cp:lastModifiedBy>ACER</cp:lastModifiedBy>
  <dcterms:modified xsi:type="dcterms:W3CDTF">2026-08-02T17:01:29Z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